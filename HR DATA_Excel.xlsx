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FAEAD2B-C574-4B28-85D8-449556D163DD}" xr6:coauthVersionLast="36" xr6:coauthVersionMax="36" xr10:uidLastSave="{00000000-0000-0000-0000-000000000000}"/>
  <bookViews>
    <workbookView xWindow="0" yWindow="0" windowWidth="23040" windowHeight="8940" firstSheet="5" activeTab="6" xr2:uid="{00000000-000D-0000-FFFF-FFFF00000000}"/>
  </bookViews>
  <sheets>
    <sheet name="Dashboard" sheetId="4" r:id="rId1"/>
    <sheet name="Data" sheetId="1" r:id="rId2"/>
    <sheet name="KPI's" sheetId="7" r:id="rId3"/>
    <sheet name="Rating" sheetId="8" r:id="rId4"/>
    <sheet name="Employees by Gender" sheetId="9" r:id="rId5"/>
    <sheet name="Attrition by Education" sheetId="10" r:id="rId6"/>
    <sheet name="Attrition by Job" sheetId="11" r:id="rId7"/>
    <sheet name="Dept wise Attrition" sheetId="12" r:id="rId8"/>
    <sheet name="Attrition by Age Group" sheetId="13" r:id="rId9"/>
    <sheet name="Attriton by Marital Status" sheetId="14" r:id="rId10"/>
  </sheets>
  <definedNames>
    <definedName name="_xlchart.v1.0" hidden="1">'Attrition by Job'!$E$9:$E$17</definedName>
    <definedName name="_xlchart.v1.1" hidden="1">'Attrition by Job'!$F$9:$F$17</definedName>
    <definedName name="_xlchart.v1.4" hidden="1">'Attrition by Job'!$E$9:$E$17</definedName>
    <definedName name="_xlchart.v1.5" hidden="1">'Attrition by Job'!$F$9:$F$17</definedName>
    <definedName name="_xlchart.v2.2" hidden="1">'Attriton by Marital Status'!$D$4:$D$6</definedName>
    <definedName name="_xlchart.v2.3" hidden="1">'Attriton by Marital Status'!$E$4:$E$6</definedName>
    <definedName name="_xlchart.v2.6" hidden="1">'Attriton by Marital Status'!$D$4:$D$6</definedName>
    <definedName name="_xlchart.v2.7" hidden="1">'Attriton by 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2">
      <go:sheetsCustomData xmlns:go="http://customooxmlschemas.google.com/" r:id="rId15" roundtripDataChecksum="0W7NtiAel2xy0cZdwUBcRsMoEuXg6pzXui43o1bypBA="/>
    </ext>
  </extLst>
</workbook>
</file>

<file path=xl/calcChain.xml><?xml version="1.0" encoding="utf-8"?>
<calcChain xmlns="http://schemas.openxmlformats.org/spreadsheetml/2006/main">
  <c r="D4" i="14" l="1"/>
  <c r="D5" i="14"/>
  <c r="D6" i="14"/>
  <c r="E10" i="11"/>
  <c r="E11" i="11"/>
  <c r="E12" i="11"/>
  <c r="E13" i="11"/>
  <c r="E14" i="11"/>
  <c r="E15" i="11"/>
  <c r="E16" i="11"/>
  <c r="E17" i="11"/>
  <c r="E9" i="11"/>
  <c r="E4" i="14"/>
  <c r="B10" i="9"/>
  <c r="A8" i="7"/>
  <c r="B6" i="8"/>
  <c r="B8" i="7"/>
  <c r="E5" i="14"/>
  <c r="C8" i="7"/>
  <c r="E6" i="14"/>
  <c r="B11" i="9"/>
  <c r="F9" i="11"/>
  <c r="F17" i="11"/>
  <c r="F15" i="11"/>
  <c r="F16" i="11"/>
  <c r="F11" i="11"/>
  <c r="F12" i="11"/>
  <c r="F10" i="11"/>
  <c r="F13" i="11"/>
  <c r="F14" i="11"/>
  <c r="C10" i="9" l="1"/>
  <c r="C11" i="9"/>
  <c r="C6" i="8"/>
  <c r="B7" i="8"/>
  <c r="C7" i="8" s="1"/>
  <c r="D8" i="7"/>
  <c r="E8" i="7"/>
</calcChain>
</file>

<file path=xl/sharedStrings.xml><?xml version="1.0" encoding="utf-8"?>
<sst xmlns="http://schemas.openxmlformats.org/spreadsheetml/2006/main" count="19221" uniqueCount="1574">
  <si>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</si>
  <si>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</si>
  <si>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</si>
  <si>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</si>
  <si>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</si>
  <si>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</si>
  <si>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</si>
  <si>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</si>
  <si>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</si>
  <si>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</si>
  <si>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</si>
  <si>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</si>
  <si>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</si>
  <si>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</si>
  <si>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</si>
  <si>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</si>
  <si>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</si>
  <si>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</si>
  <si>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</si>
  <si>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</si>
  <si>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</si>
  <si>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</si>
  <si>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</si>
  <si>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</si>
  <si>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</si>
  <si>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</si>
  <si>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</si>
  <si>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</si>
  <si>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</si>
  <si>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</si>
  <si>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</si>
  <si>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</si>
  <si>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</si>
  <si>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</si>
  <si>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</si>
  <si>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</si>
  <si>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</si>
  <si>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</si>
  <si>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</si>
  <si>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</si>
  <si>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</si>
  <si>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</si>
  <si>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</si>
  <si>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</si>
  <si>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</si>
  <si>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</si>
  <si>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</si>
  <si>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</si>
  <si>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</si>
  <si>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</si>
  <si>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</si>
  <si>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</si>
  <si>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</si>
  <si>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</si>
  <si>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</si>
  <si>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</si>
  <si>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</si>
  <si>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</si>
  <si>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</si>
  <si>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</si>
  <si>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</si>
  <si>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</si>
  <si>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</si>
  <si>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</si>
  <si>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</si>
  <si>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</si>
  <si>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</si>
  <si>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</si>
  <si>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</si>
  <si>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</si>
  <si>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</si>
  <si>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</si>
  <si>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</si>
  <si>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</si>
  <si>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</si>
  <si>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</si>
  <si>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</si>
  <si>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</si>
  <si>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</si>
  <si>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</si>
  <si>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</si>
  <si>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</si>
  <si>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</si>
  <si>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</si>
  <si>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</si>
  <si>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</si>
  <si>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</si>
  <si>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</si>
  <si>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</si>
  <si>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</si>
  <si>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</si>
  <si>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</si>
  <si>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</si>
  <si>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</si>
  <si>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</si>
  <si>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</si>
  <si>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</si>
  <si>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</si>
  <si>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</si>
  <si>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</si>
  <si>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</si>
  <si>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</si>
  <si>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</si>
  <si>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</si>
  <si>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</si>
  <si>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</si>
  <si>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</si>
  <si>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</si>
  <si>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</si>
  <si>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</si>
  <si>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</si>
  <si>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</si>
  <si>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</si>
  <si>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</si>
  <si>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</si>
  <si>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</si>
  <si>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</si>
  <si>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</si>
  <si>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</si>
  <si>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</si>
  <si>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</si>
  <si>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</si>
  <si>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</si>
  <si>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</si>
  <si>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</si>
  <si>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</si>
  <si>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</si>
  <si>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</si>
  <si>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</si>
  <si>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</si>
  <si>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</si>
  <si>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</si>
  <si>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</si>
  <si>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</si>
  <si>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</si>
  <si>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</si>
  <si>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</si>
  <si>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</si>
  <si>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</si>
  <si>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</si>
  <si>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</si>
  <si>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</si>
  <si>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</si>
  <si>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</si>
  <si>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</si>
  <si>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</si>
  <si>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</si>
  <si>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</si>
  <si>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</si>
  <si>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</si>
  <si>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</si>
  <si>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</si>
  <si>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</si>
  <si>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</si>
  <si>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</si>
  <si>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</si>
  <si>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</si>
  <si>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</si>
  <si>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</si>
  <si>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</si>
  <si>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</si>
  <si>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</si>
  <si>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</si>
  <si>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</si>
  <si>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</si>
  <si>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</si>
  <si>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</si>
  <si>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</si>
  <si>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</si>
  <si>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</si>
  <si>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</si>
  <si>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</si>
  <si>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</si>
  <si>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</si>
  <si>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</si>
  <si>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</si>
  <si>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</si>
  <si>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</si>
  <si>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</si>
  <si>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</si>
  <si>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</si>
  <si>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</si>
  <si>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</si>
  <si>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</si>
  <si>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</si>
  <si>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</si>
  <si>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</si>
  <si>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</si>
  <si>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</si>
  <si>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</si>
  <si>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</si>
  <si>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</si>
  <si>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</si>
  <si>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</si>
  <si>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</si>
  <si>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</si>
  <si>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</si>
  <si>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</si>
  <si>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</si>
  <si>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</si>
  <si>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</si>
  <si>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</si>
  <si>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</si>
  <si>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</si>
  <si>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</si>
  <si>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</si>
  <si>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</si>
  <si>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</si>
  <si>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</si>
  <si>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</si>
  <si>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</si>
  <si>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</si>
  <si>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</si>
  <si>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</si>
  <si>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</si>
  <si>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</si>
  <si>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</si>
  <si>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</si>
  <si>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</si>
  <si>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</si>
  <si>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</si>
  <si>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</si>
  <si>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</si>
  <si>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</si>
  <si>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</si>
  <si>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</si>
  <si>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</si>
  <si>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</si>
  <si>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</si>
  <si>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</si>
  <si>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</si>
  <si>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</si>
  <si>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</si>
  <si>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</si>
  <si>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</si>
  <si>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</si>
  <si>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</si>
  <si>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</si>
  <si>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</si>
  <si>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</si>
  <si>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</si>
  <si>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</si>
  <si>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</si>
  <si>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</si>
  <si>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</si>
  <si>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</si>
  <si>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</si>
  <si>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</si>
  <si>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</si>
  <si>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</si>
  <si>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</si>
  <si>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</si>
  <si>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</si>
  <si>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</si>
  <si>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</si>
  <si>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</si>
  <si>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</si>
  <si>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</si>
  <si>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</si>
  <si>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</si>
  <si>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</si>
  <si>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</si>
  <si>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</si>
  <si>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</si>
  <si>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</si>
  <si>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</si>
  <si>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</si>
  <si>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</si>
  <si>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</si>
  <si>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</si>
  <si>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</si>
  <si>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</si>
  <si>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</si>
  <si>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</si>
  <si>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</si>
  <si>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</si>
  <si>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</si>
  <si>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</si>
  <si>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</si>
  <si>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</si>
  <si>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</si>
  <si>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</si>
  <si>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</si>
  <si>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</si>
  <si>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</si>
  <si>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</si>
  <si>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</si>
  <si>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</si>
  <si>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</si>
  <si>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</si>
  <si>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</si>
  <si>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</si>
  <si>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</si>
  <si>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</si>
  <si>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</si>
  <si>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</si>
  <si>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</si>
  <si>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</si>
  <si>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</si>
  <si>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</si>
  <si>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</si>
  <si>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</si>
  <si>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</si>
  <si>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</si>
  <si>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</si>
  <si>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</si>
  <si>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</si>
  <si>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</si>
  <si>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</si>
  <si>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</si>
  <si>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</si>
  <si>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</si>
  <si>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</si>
  <si>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</si>
  <si>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</si>
  <si>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</si>
  <si>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</si>
  <si>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</si>
  <si>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</si>
  <si>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</si>
  <si>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</si>
  <si>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</si>
  <si>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</si>
  <si>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</si>
  <si>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</si>
  <si>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</si>
  <si>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</si>
  <si>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</si>
  <si>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</si>
  <si>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</si>
  <si>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</si>
  <si>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</si>
  <si>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</si>
  <si>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</si>
  <si>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</si>
  <si>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</si>
  <si>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</si>
  <si>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</si>
  <si>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</si>
  <si>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</si>
  <si>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</si>
  <si>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</si>
  <si>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</si>
  <si>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</si>
  <si>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</si>
  <si>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</si>
  <si>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</si>
  <si>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</si>
  <si>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</si>
  <si>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</si>
  <si>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</si>
  <si>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</si>
  <si>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</si>
  <si>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</si>
  <si>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</si>
  <si>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</si>
  <si>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</si>
  <si>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</si>
  <si>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</si>
  <si>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</si>
  <si>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</si>
  <si>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</si>
  <si>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</si>
  <si>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</si>
  <si>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</si>
  <si>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</si>
  <si>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</si>
  <si>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</si>
  <si>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</si>
  <si>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</si>
  <si>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</si>
  <si>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</si>
  <si>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</si>
  <si>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</si>
  <si>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</si>
  <si>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</si>
  <si>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</si>
  <si>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</si>
  <si>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</si>
  <si>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</si>
  <si>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</si>
  <si>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</si>
  <si>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</si>
  <si>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</si>
  <si>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</si>
  <si>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</si>
  <si>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</si>
  <si>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</si>
  <si>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</si>
  <si>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</si>
  <si>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</si>
  <si>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</si>
  <si>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</si>
  <si>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</si>
  <si>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</si>
  <si>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</si>
  <si>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</si>
  <si>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</si>
  <si>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</si>
  <si>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</si>
  <si>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</si>
  <si>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</si>
  <si>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</si>
  <si>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</si>
  <si>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</si>
  <si>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</si>
  <si>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</si>
  <si>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</si>
  <si>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</si>
  <si>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</si>
  <si>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</si>
  <si>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</si>
  <si>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</si>
  <si>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</si>
  <si>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</si>
  <si>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</si>
  <si>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</si>
  <si>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</si>
  <si>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</si>
  <si>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</si>
  <si>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</si>
  <si>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</si>
  <si>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</si>
  <si>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</si>
  <si>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</si>
  <si>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</si>
  <si>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</si>
  <si>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</si>
  <si>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</si>
  <si>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</si>
  <si>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</si>
  <si>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</si>
  <si>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</si>
  <si>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</si>
  <si>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</si>
  <si>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</si>
  <si>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</si>
  <si>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</si>
  <si>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</si>
  <si>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</si>
  <si>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</si>
  <si>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</si>
  <si>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</si>
  <si>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</si>
  <si>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</si>
  <si>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</si>
  <si>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</si>
  <si>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</si>
  <si>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</si>
  <si>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</si>
  <si>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</si>
  <si>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</si>
  <si>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</si>
  <si>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</si>
  <si>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</si>
  <si>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</si>
  <si>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</si>
  <si>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</si>
  <si>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</si>
  <si>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</si>
  <si>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</si>
  <si>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</si>
  <si>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</si>
  <si>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</si>
  <si>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</si>
  <si>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</si>
  <si>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</si>
  <si>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</si>
  <si>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</si>
  <si>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</si>
  <si>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</si>
  <si>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</si>
  <si>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</si>
  <si>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</si>
  <si>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</si>
  <si>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</si>
  <si>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</si>
  <si>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</si>
  <si>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</si>
  <si>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</si>
  <si>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</si>
  <si>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</si>
  <si>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</si>
  <si>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</si>
  <si>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</si>
  <si>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</si>
  <si>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</si>
  <si>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</si>
  <si>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</si>
  <si>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</si>
  <si>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</si>
  <si>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</si>
  <si>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</si>
  <si>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</si>
  <si>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</si>
  <si>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</si>
  <si>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</si>
  <si>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</si>
  <si>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</si>
  <si>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</si>
  <si>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</si>
  <si>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</si>
  <si>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</si>
  <si>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</si>
  <si>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</si>
  <si>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</si>
  <si>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</si>
  <si>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</si>
  <si>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</si>
  <si>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</si>
  <si>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</si>
  <si>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</si>
  <si>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</si>
  <si>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</si>
  <si>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</si>
  <si>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</si>
  <si>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</si>
  <si>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</si>
  <si>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</si>
  <si>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</si>
  <si>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</si>
  <si>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</si>
  <si>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</si>
  <si>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</si>
  <si>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</si>
  <si>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</si>
  <si>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</si>
  <si>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</si>
  <si>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</si>
  <si>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</si>
  <si>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</si>
  <si>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</si>
  <si>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</si>
  <si>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</si>
  <si>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</si>
  <si>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</si>
  <si>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</si>
  <si>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</si>
  <si>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</si>
  <si>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</si>
  <si>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</si>
  <si>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</si>
  <si>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</si>
  <si>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</si>
  <si>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</si>
  <si>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</si>
  <si>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</si>
  <si>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</si>
  <si>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</si>
  <si>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</si>
  <si>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</si>
  <si>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</si>
  <si>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</si>
  <si>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</si>
  <si>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</si>
  <si>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</si>
  <si>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</si>
  <si>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</si>
  <si>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</si>
  <si>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</si>
  <si>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</si>
  <si>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</si>
  <si>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</si>
  <si>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</si>
  <si>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</si>
  <si>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</si>
  <si>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</si>
  <si>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</si>
  <si>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</si>
  <si>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</si>
  <si>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</si>
  <si>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</si>
  <si>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</si>
  <si>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</si>
  <si>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</si>
  <si>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</si>
  <si>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</si>
  <si>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</si>
  <si>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</si>
  <si>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</si>
  <si>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</si>
  <si>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</si>
  <si>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</si>
  <si>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</si>
  <si>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</si>
  <si>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</si>
  <si>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</si>
  <si>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</si>
  <si>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</si>
  <si>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</si>
  <si>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</si>
  <si>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</si>
  <si>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</si>
  <si>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</si>
  <si>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</si>
  <si>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</si>
  <si>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</si>
  <si>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</si>
  <si>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</si>
  <si>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</si>
  <si>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</si>
  <si>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</si>
  <si>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</si>
  <si>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</si>
  <si>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</si>
  <si>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</si>
  <si>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</si>
  <si>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</si>
  <si>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</si>
  <si>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</si>
  <si>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</si>
  <si>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</si>
  <si>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</si>
  <si>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</si>
  <si>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</si>
  <si>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</si>
  <si>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</si>
  <si>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</si>
  <si>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</si>
  <si>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</si>
  <si>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</si>
  <si>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</si>
  <si>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</si>
  <si>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</si>
  <si>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</si>
  <si>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</si>
  <si>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</si>
  <si>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</si>
  <si>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</si>
  <si>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</si>
  <si>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</si>
  <si>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</si>
  <si>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</si>
  <si>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</si>
  <si>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</si>
  <si>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</si>
  <si>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</si>
  <si>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</si>
  <si>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</si>
  <si>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</si>
  <si>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</si>
  <si>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</si>
  <si>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</si>
  <si>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</si>
  <si>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</si>
  <si>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</si>
  <si>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</si>
  <si>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</si>
  <si>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</si>
  <si>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</si>
  <si>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</si>
  <si>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</si>
  <si>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</si>
  <si>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</si>
  <si>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</si>
  <si>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</si>
  <si>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</si>
  <si>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</si>
  <si>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</si>
  <si>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</si>
  <si>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</si>
  <si>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</si>
  <si>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</si>
  <si>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</si>
  <si>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</si>
  <si>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</si>
  <si>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</si>
  <si>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</si>
  <si>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</si>
  <si>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</si>
  <si>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</si>
  <si>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</si>
  <si>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</si>
  <si>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</si>
  <si>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</si>
  <si>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</si>
  <si>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</si>
  <si>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</si>
  <si>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</si>
  <si>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</si>
  <si>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</si>
  <si>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</si>
  <si>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</si>
  <si>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</si>
  <si>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</si>
  <si>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</si>
  <si>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</si>
  <si>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</si>
  <si>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</si>
  <si>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</si>
  <si>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</si>
  <si>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</si>
  <si>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</si>
  <si>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</si>
  <si>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</si>
  <si>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</si>
  <si>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</si>
  <si>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</si>
  <si>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</si>
  <si>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</si>
  <si>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</si>
  <si>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</si>
  <si>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</si>
  <si>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</si>
  <si>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</si>
  <si>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</si>
  <si>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</si>
  <si>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</si>
  <si>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</si>
  <si>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</si>
  <si>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</si>
  <si>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</si>
  <si>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</si>
  <si>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</si>
  <si>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</si>
  <si>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</si>
  <si>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</si>
  <si>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</si>
  <si>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</si>
  <si>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</si>
  <si>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</si>
  <si>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</si>
  <si>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</si>
  <si>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</si>
  <si>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</si>
  <si>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</si>
  <si>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</si>
  <si>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</si>
  <si>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</si>
  <si>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</si>
  <si>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</si>
  <si>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</si>
  <si>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</si>
  <si>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</si>
  <si>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</si>
  <si>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</si>
  <si>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</si>
  <si>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</si>
  <si>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</si>
  <si>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</si>
  <si>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</si>
  <si>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</si>
  <si>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</si>
  <si>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</si>
  <si>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</si>
  <si>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</si>
  <si>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</si>
  <si>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</si>
  <si>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</si>
  <si>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</si>
  <si>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</si>
  <si>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</si>
  <si>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</si>
  <si>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</si>
  <si>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</si>
  <si>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</si>
  <si>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</si>
  <si>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</si>
  <si>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</si>
  <si>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</si>
  <si>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</si>
  <si>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</si>
  <si>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</si>
  <si>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</si>
  <si>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</si>
  <si>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</si>
  <si>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</si>
  <si>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</si>
  <si>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</si>
  <si>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</si>
  <si>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</si>
  <si>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</si>
  <si>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</si>
  <si>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</si>
  <si>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</si>
  <si>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</si>
  <si>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</si>
  <si>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</si>
  <si>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</si>
  <si>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</si>
  <si>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</si>
  <si>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</si>
  <si>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</si>
  <si>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</si>
  <si>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</si>
  <si>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</si>
  <si>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</si>
  <si>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</si>
  <si>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</si>
  <si>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</si>
  <si>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</si>
  <si>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</si>
  <si>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</si>
  <si>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</si>
  <si>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</si>
  <si>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</si>
  <si>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</si>
  <si>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</si>
  <si>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</si>
  <si>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</si>
  <si>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</si>
  <si>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</si>
  <si>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</si>
  <si>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</si>
  <si>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</si>
  <si>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</si>
  <si>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</si>
  <si>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</si>
  <si>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</si>
  <si>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</si>
  <si>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</si>
  <si>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</si>
  <si>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</si>
  <si>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</si>
  <si>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</si>
  <si>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</si>
  <si>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</si>
  <si>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</si>
  <si>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</si>
  <si>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</si>
  <si>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</si>
  <si>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</si>
  <si>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</si>
  <si>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</si>
  <si>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</si>
  <si>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</si>
  <si>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</si>
  <si>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</si>
  <si>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</si>
  <si>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</si>
  <si>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</si>
  <si>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</si>
  <si>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</si>
  <si>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</si>
  <si>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</si>
  <si>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</si>
  <si>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</si>
  <si>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</si>
  <si>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</si>
  <si>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</si>
  <si>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</si>
  <si>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</si>
  <si>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</si>
  <si>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</si>
  <si>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</si>
  <si>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</si>
  <si>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</si>
  <si>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</si>
  <si>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</si>
  <si>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</si>
  <si>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</si>
  <si>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</si>
  <si>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</si>
  <si>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</si>
  <si>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</si>
  <si>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</si>
  <si>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</si>
  <si>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</si>
  <si>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</si>
  <si>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</si>
  <si>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</si>
  <si>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</si>
  <si>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</si>
  <si>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</si>
  <si>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</si>
  <si>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</si>
  <si>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</si>
  <si>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</si>
  <si>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</si>
  <si>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</si>
  <si>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</si>
  <si>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</si>
  <si>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</si>
  <si>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</si>
  <si>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</si>
  <si>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</si>
  <si>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</si>
  <si>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</si>
  <si>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</si>
  <si>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</si>
  <si>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</si>
  <si>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</si>
  <si>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</si>
  <si>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</si>
  <si>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</si>
  <si>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</si>
  <si>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</si>
  <si>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</si>
  <si>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</si>
  <si>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</si>
  <si>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</si>
  <si>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</si>
  <si>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</si>
  <si>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</si>
  <si>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</si>
  <si>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</si>
  <si>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</si>
  <si>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</si>
  <si>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</si>
  <si>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</si>
  <si>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</si>
  <si>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</si>
  <si>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</si>
  <si>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</si>
  <si>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</si>
  <si>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</si>
  <si>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</si>
  <si>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</si>
  <si>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</si>
  <si>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</si>
  <si>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</si>
  <si>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</si>
  <si>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</si>
  <si>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</si>
  <si>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</si>
  <si>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</si>
  <si>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</si>
  <si>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</si>
  <si>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</si>
  <si>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</si>
  <si>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</si>
  <si>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</si>
  <si>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</si>
  <si>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</si>
  <si>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</si>
  <si>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</si>
  <si>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</si>
  <si>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</si>
  <si>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</si>
  <si>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</si>
  <si>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</si>
  <si>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</si>
  <si>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</si>
  <si>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</si>
  <si>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</si>
  <si>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</si>
  <si>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</si>
  <si>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</si>
  <si>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</si>
  <si>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</si>
  <si>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</si>
  <si>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</si>
  <si>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</si>
  <si>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</si>
  <si>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</si>
  <si>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</si>
  <si>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</si>
  <si>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</si>
  <si>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</si>
  <si>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</si>
  <si>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</si>
  <si>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</si>
  <si>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</si>
  <si>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</si>
  <si>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</si>
  <si>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</si>
  <si>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</si>
  <si>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</si>
  <si>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</si>
  <si>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</si>
  <si>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</si>
  <si>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</si>
  <si>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</si>
  <si>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</si>
  <si>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</si>
  <si>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</si>
  <si>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</si>
  <si>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</si>
  <si>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</si>
  <si>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</si>
  <si>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</si>
  <si>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</si>
  <si>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</si>
  <si>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</si>
  <si>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</si>
  <si>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</si>
  <si>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</si>
  <si>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</si>
  <si>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</si>
  <si>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</si>
  <si>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</si>
  <si>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</si>
  <si>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</si>
  <si>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</si>
  <si>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</si>
  <si>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</si>
  <si>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</si>
  <si>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</si>
  <si>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</si>
  <si>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</si>
  <si>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</si>
  <si>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</si>
  <si>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</si>
  <si>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</si>
  <si>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</si>
  <si>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</si>
  <si>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</si>
  <si>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</si>
  <si>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</si>
  <si>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</si>
  <si>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</si>
  <si>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</si>
  <si>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</si>
  <si>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</si>
  <si>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</si>
  <si>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</si>
  <si>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</si>
  <si>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</si>
  <si>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</si>
  <si>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</si>
  <si>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</si>
  <si>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</si>
  <si>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</si>
  <si>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</si>
  <si>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</si>
  <si>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</si>
  <si>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</si>
  <si>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</si>
  <si>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</si>
  <si>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</si>
  <si>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</si>
  <si>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</si>
  <si>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</si>
  <si>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</si>
  <si>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</si>
  <si>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</si>
  <si>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</si>
  <si>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</si>
  <si>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</si>
  <si>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</si>
  <si>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</si>
  <si>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</si>
  <si>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</si>
  <si>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</si>
  <si>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</si>
  <si>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</si>
  <si>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</si>
  <si>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</si>
  <si>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</si>
  <si>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</si>
  <si>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</si>
  <si>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</si>
  <si>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</si>
  <si>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</si>
  <si>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</si>
  <si>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</si>
  <si>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</si>
  <si>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</si>
  <si>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</si>
  <si>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</si>
  <si>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</si>
  <si>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</si>
  <si>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</si>
  <si>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</si>
  <si>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</si>
  <si>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</si>
  <si>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</si>
  <si>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</si>
  <si>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</si>
  <si>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</si>
  <si>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</si>
  <si>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</si>
  <si>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</si>
  <si>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</si>
  <si>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</si>
  <si>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</si>
  <si>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</si>
  <si>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</si>
  <si>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</si>
  <si>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</si>
  <si>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</si>
  <si>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</si>
  <si>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</si>
  <si>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</si>
  <si>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</si>
  <si>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</si>
  <si>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</si>
  <si>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</si>
  <si>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</si>
  <si>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</si>
  <si>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</si>
  <si>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</si>
  <si>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</si>
  <si>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</si>
  <si>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</si>
  <si>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</si>
  <si>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</si>
  <si>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</si>
  <si>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</si>
  <si>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</si>
  <si>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</si>
  <si>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</si>
  <si>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</si>
  <si>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</si>
  <si>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</si>
  <si>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</si>
  <si>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</si>
  <si>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</si>
  <si>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</si>
  <si>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</si>
  <si>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</si>
  <si>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</si>
  <si>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</si>
  <si>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</si>
  <si>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</si>
  <si>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</si>
  <si>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</si>
  <si>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</si>
  <si>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</si>
  <si>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</si>
  <si>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</si>
  <si>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</si>
  <si>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</si>
  <si>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</si>
  <si>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</si>
  <si>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</si>
  <si>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</si>
  <si>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</si>
  <si>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</si>
  <si>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</si>
  <si>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</si>
  <si>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</si>
  <si>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</si>
  <si>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</si>
  <si>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</si>
  <si>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</si>
  <si>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</si>
  <si>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</si>
  <si>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</si>
  <si>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</si>
  <si>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</si>
  <si>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</si>
  <si>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</si>
  <si>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</si>
  <si>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</si>
  <si>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</si>
  <si>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</si>
  <si>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</si>
  <si>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</si>
  <si>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</si>
  <si>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</si>
  <si>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</si>
  <si>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</si>
  <si>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</si>
  <si>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</si>
  <si>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</si>
  <si>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</si>
  <si>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</si>
  <si>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</si>
  <si>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</si>
  <si>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</si>
  <si>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</si>
  <si>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</si>
  <si>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</si>
  <si>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</si>
  <si>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</si>
  <si>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</si>
  <si>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</si>
  <si>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</si>
  <si>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</si>
  <si>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</si>
  <si>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</si>
  <si>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</si>
  <si>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</si>
  <si>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</si>
  <si>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</si>
  <si>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</si>
  <si>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</si>
  <si>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</si>
  <si>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</si>
  <si>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</si>
  <si>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</si>
  <si>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</si>
  <si>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</si>
  <si>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</si>
  <si>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</si>
  <si>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</si>
  <si>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</si>
  <si>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</si>
  <si>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</si>
  <si>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</si>
  <si>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</si>
  <si>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</si>
  <si>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</si>
  <si>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</si>
  <si>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</si>
  <si>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</si>
  <si>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</si>
  <si>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</si>
  <si>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</si>
  <si>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</si>
  <si>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</si>
  <si>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</si>
  <si>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</si>
  <si>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</si>
  <si>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</si>
  <si>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</si>
  <si>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</si>
  <si>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</si>
  <si>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</si>
  <si>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</si>
  <si>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</si>
  <si>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</si>
  <si>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</si>
  <si>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</si>
  <si>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</si>
  <si>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</si>
  <si>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</si>
  <si>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</si>
  <si>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</si>
  <si>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</si>
  <si>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</si>
  <si>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</si>
  <si>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</si>
  <si>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</si>
  <si>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</si>
  <si>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</si>
  <si>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</si>
  <si>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</si>
  <si>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</si>
  <si>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</si>
  <si>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</si>
  <si>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</si>
  <si>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</si>
  <si>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</si>
  <si>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</si>
  <si>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</si>
  <si>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</si>
  <si>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</si>
  <si>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</si>
  <si>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</si>
  <si>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</si>
  <si>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</si>
  <si>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</si>
  <si>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</si>
  <si>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</si>
  <si>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</si>
  <si>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</si>
  <si>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</si>
  <si>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</si>
  <si>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</si>
  <si>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</si>
  <si>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</si>
  <si>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</si>
  <si>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</si>
  <si>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</si>
  <si>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</si>
  <si>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</si>
  <si>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</si>
  <si>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</si>
  <si>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</si>
  <si>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</si>
  <si>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</si>
  <si>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</si>
  <si>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</si>
  <si>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</si>
  <si>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</si>
  <si>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</si>
  <si>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</si>
  <si>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</si>
  <si>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</si>
  <si>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</si>
  <si>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</si>
  <si>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</si>
  <si>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</si>
  <si>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</si>
  <si>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</si>
  <si>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</si>
  <si>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</si>
  <si>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</si>
  <si>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</si>
  <si>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</si>
  <si>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</si>
  <si>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</si>
  <si>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</si>
  <si>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</si>
  <si>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</si>
  <si>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</si>
  <si>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</si>
  <si>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</si>
  <si>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</si>
  <si>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</si>
  <si>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</si>
  <si>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</si>
  <si>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</si>
  <si>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</si>
  <si>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</si>
  <si>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</si>
  <si>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</si>
  <si>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</si>
  <si>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</si>
  <si>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</si>
  <si>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</si>
  <si>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</si>
  <si>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</si>
  <si>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</si>
  <si>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</si>
  <si>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</si>
  <si>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</si>
  <si>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</si>
  <si>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</si>
  <si>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</si>
  <si>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</si>
  <si>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</si>
  <si>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</si>
  <si>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</si>
  <si>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</si>
  <si>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</si>
  <si>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</si>
  <si>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</si>
  <si>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</si>
  <si>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</si>
  <si>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</si>
  <si>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</si>
  <si>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</si>
  <si>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</si>
  <si>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</si>
  <si>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</si>
  <si>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</si>
  <si>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</si>
  <si>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</si>
  <si>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</si>
  <si>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</si>
  <si>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</si>
  <si>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</si>
  <si>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</si>
  <si>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</si>
  <si>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</si>
  <si>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</si>
  <si>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</si>
  <si>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</si>
  <si>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</si>
  <si>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</si>
  <si>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</si>
  <si>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</si>
  <si>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</si>
  <si>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</si>
  <si>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</si>
  <si>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</si>
  <si>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</si>
  <si>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</si>
  <si>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</si>
  <si>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</si>
  <si>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</si>
  <si>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</si>
  <si>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</si>
  <si>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</si>
  <si>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</si>
  <si>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</si>
  <si>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</si>
  <si>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</si>
  <si>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</si>
  <si>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</si>
  <si>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</si>
  <si>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</si>
  <si>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</si>
  <si>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</si>
  <si>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</si>
  <si>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</si>
  <si>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</si>
  <si>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</si>
  <si>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</si>
  <si>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</si>
  <si>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</si>
  <si>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</si>
  <si>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</si>
  <si>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</si>
  <si>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</si>
  <si>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</si>
  <si>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</si>
  <si>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</si>
  <si>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</si>
  <si>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</si>
  <si>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</si>
  <si>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</si>
  <si>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</si>
  <si>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</si>
  <si>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</si>
  <si>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</si>
  <si>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</si>
  <si>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</si>
  <si>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</si>
  <si>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</si>
  <si>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</si>
  <si>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</si>
  <si>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</si>
  <si>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</si>
  <si>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</si>
  <si>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</si>
  <si>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</si>
  <si>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</si>
  <si>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</si>
  <si>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</si>
  <si>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</si>
  <si>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</si>
  <si>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</si>
  <si>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</si>
  <si>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</si>
  <si>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</si>
  <si>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</si>
  <si>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</si>
  <si>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</si>
  <si>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</si>
  <si>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</si>
  <si>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</si>
  <si>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</si>
  <si>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</si>
  <si>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</si>
  <si>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</si>
  <si>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</si>
  <si>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</si>
  <si>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</si>
  <si>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</si>
  <si>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</si>
  <si>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</si>
  <si>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</si>
  <si>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</si>
  <si>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</si>
  <si>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</si>
  <si>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</si>
  <si>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</si>
  <si>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</si>
  <si>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</si>
  <si>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</si>
  <si>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</si>
  <si>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</si>
  <si>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</si>
  <si>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</si>
  <si>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</si>
  <si>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</si>
  <si>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</si>
  <si>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</si>
  <si>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</si>
  <si>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</si>
  <si>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</si>
  <si>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</si>
  <si>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</si>
  <si>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</si>
  <si>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</si>
  <si>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</si>
  <si>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</si>
  <si>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</si>
  <si>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</si>
  <si>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</si>
  <si>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</si>
  <si>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</si>
  <si>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</si>
  <si>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</si>
  <si>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</si>
  <si>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</si>
  <si>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</si>
  <si>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</si>
  <si>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</si>
  <si>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</si>
  <si>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</si>
  <si>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</si>
  <si>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</si>
  <si>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</si>
  <si>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</si>
  <si>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</si>
  <si>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</si>
  <si>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</si>
  <si>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</si>
  <si>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</si>
  <si>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</si>
  <si>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</si>
  <si>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</si>
  <si>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</si>
  <si>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</si>
  <si>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</si>
  <si>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</si>
  <si>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</si>
  <si>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</si>
  <si>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</si>
  <si>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</si>
  <si>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</si>
  <si>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</si>
  <si>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</si>
  <si>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</si>
  <si>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</si>
  <si>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</si>
  <si>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</si>
  <si>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</si>
  <si>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</si>
  <si>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</si>
  <si>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</si>
  <si>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</si>
  <si>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</si>
  <si>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</si>
  <si>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</si>
  <si>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</si>
  <si>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</si>
  <si>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</si>
  <si>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</si>
  <si>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</si>
  <si>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</si>
  <si>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</si>
  <si>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</si>
  <si>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</si>
  <si>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</si>
  <si>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</si>
  <si>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</si>
  <si>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</si>
  <si>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</si>
  <si>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</si>
  <si>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</si>
  <si>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</si>
  <si>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</si>
  <si>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</si>
  <si>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</si>
  <si>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</si>
  <si>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</si>
  <si>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</si>
  <si>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</si>
  <si>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</si>
  <si>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</si>
  <si>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</si>
  <si>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</si>
  <si>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</si>
  <si>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</si>
  <si>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</si>
  <si>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</si>
  <si>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</si>
  <si>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</si>
  <si>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</si>
  <si>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</si>
  <si>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</si>
  <si>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</si>
  <si>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</si>
  <si>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</si>
  <si>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</si>
  <si>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</si>
  <si>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</si>
  <si>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</si>
  <si>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</si>
  <si>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</si>
  <si>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</si>
  <si>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</si>
  <si>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</si>
  <si>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</si>
  <si>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</si>
  <si>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</si>
  <si>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</si>
  <si>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</si>
  <si>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</si>
  <si>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</si>
  <si>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</si>
  <si>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</si>
  <si>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</si>
  <si>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</si>
  <si>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</si>
  <si>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</si>
  <si>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</si>
  <si>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</si>
  <si>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</si>
  <si>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counts</t>
  </si>
  <si>
    <t>Average of Age</t>
  </si>
  <si>
    <t>Total Employees</t>
  </si>
  <si>
    <t>Attrition Count</t>
  </si>
  <si>
    <t>Average Age</t>
  </si>
  <si>
    <t>Active Employees</t>
  </si>
  <si>
    <t>Attrition Rate</t>
  </si>
  <si>
    <t>Average of Job Satisfaction</t>
  </si>
  <si>
    <t>Rating</t>
  </si>
  <si>
    <t>Balance Rating</t>
  </si>
  <si>
    <t xml:space="preserve"> </t>
  </si>
  <si>
    <t>Row Labels</t>
  </si>
  <si>
    <t>Grand Total</t>
  </si>
  <si>
    <t>Sum of Employee Count</t>
  </si>
  <si>
    <t>Sum of CF_attrition count</t>
  </si>
  <si>
    <t>Count of Attrition</t>
  </si>
  <si>
    <t>Attrition by Department</t>
  </si>
  <si>
    <t>Attrition by Age</t>
  </si>
  <si>
    <t>Attrition by 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</si>
</sst>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1"/>
      <name val="Calibri"/>
      <family val="2"/>
      <scheme val="minor"/>
    </font>
    <font>
      <b/>
      <sz val="12"/>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4">
    <border>
      <left/>
      <right/>
      <top/>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rgb="FF999999"/>
      </bottom>
      <diagonal/>
    </border>
    <border>
      <left style="medium">
        <color indexed="64"/>
      </left>
      <right/>
      <top style="thin">
        <color rgb="FF999999"/>
      </top>
      <bottom/>
      <diagonal/>
    </border>
    <border>
      <left style="medium">
        <color indexed="64"/>
      </left>
      <right/>
      <top style="thin">
        <color indexed="65"/>
      </top>
      <bottom/>
      <diagonal/>
    </border>
    <border>
      <left style="medium">
        <color indexed="64"/>
      </left>
      <right/>
      <top style="thin">
        <color rgb="FF999999"/>
      </top>
      <bottom style="thin">
        <color rgb="FF999999"/>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42">
    <xf numFmtId="0" fontId="0" fillId="0" borderId="0" xfId="0" applyFont="1" applyAlignment="1"/>
    <xf numFmtId="0" fontId="0" fillId="0" borderId="1" xfId="0" applyFont="1" applyBorder="1" applyAlignment="1"/>
    <xf numFmtId="0" fontId="0" fillId="0" borderId="2" xfId="0"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2" fillId="0" borderId="0" xfId="0" applyFont="1" applyAlignment="1"/>
    <xf numFmtId="9" fontId="0" fillId="0" borderId="0" xfId="1" applyFont="1" applyAlignment="1"/>
    <xf numFmtId="1" fontId="0" fillId="0" borderId="0" xfId="0" applyNumberFormat="1" applyFont="1" applyAlignment="1"/>
    <xf numFmtId="164" fontId="0" fillId="0" borderId="0" xfId="0" applyNumberFormat="1" applyFont="1" applyAlignment="1"/>
    <xf numFmtId="10" fontId="0" fillId="0" borderId="0" xfId="1" applyNumberFormat="1" applyFont="1" applyAlignment="1"/>
    <xf numFmtId="0" fontId="0" fillId="2" borderId="0" xfId="0" applyFont="1" applyFill="1" applyAlignment="1"/>
    <xf numFmtId="0" fontId="0" fillId="0" borderId="8" xfId="0" applyFont="1" applyBorder="1" applyAlignment="1"/>
    <xf numFmtId="0" fontId="0" fillId="0" borderId="9" xfId="0" applyNumberFormat="1" applyFont="1" applyBorder="1" applyAlignment="1"/>
    <xf numFmtId="164" fontId="0" fillId="0" borderId="9"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8" xfId="0" applyNumberFormat="1" applyFont="1" applyBorder="1" applyAlignment="1"/>
    <xf numFmtId="0" fontId="0" fillId="0" borderId="7" xfId="0" applyFont="1" applyBorder="1" applyAlignment="1">
      <alignment horizontal="left"/>
    </xf>
    <xf numFmtId="0" fontId="0" fillId="0" borderId="10" xfId="0" applyNumberFormat="1" applyFont="1" applyBorder="1" applyAlignment="1"/>
    <xf numFmtId="0" fontId="0" fillId="0" borderId="3" xfId="0" applyFont="1" applyBorder="1" applyAlignment="1">
      <alignment horizontal="left"/>
    </xf>
    <xf numFmtId="10" fontId="0" fillId="0" borderId="8" xfId="0" applyNumberFormat="1" applyFont="1" applyBorder="1" applyAlignment="1"/>
    <xf numFmtId="10" fontId="0" fillId="0" borderId="10" xfId="0" applyNumberFormat="1" applyFont="1" applyBorder="1" applyAlignment="1"/>
    <xf numFmtId="10" fontId="0" fillId="0" borderId="9" xfId="0" applyNumberFormat="1" applyFont="1" applyBorder="1" applyAlignment="1"/>
    <xf numFmtId="0" fontId="3" fillId="3" borderId="11" xfId="0" applyFont="1" applyFill="1" applyBorder="1" applyAlignment="1">
      <alignment horizontal="center"/>
    </xf>
    <xf numFmtId="0" fontId="0" fillId="0" borderId="12" xfId="0" applyFont="1" applyBorder="1" applyAlignment="1"/>
    <xf numFmtId="0" fontId="0" fillId="0" borderId="13" xfId="0" applyFont="1" applyBorder="1" applyAlignment="1"/>
    <xf numFmtId="0" fontId="0" fillId="0" borderId="14" xfId="0" applyFont="1" applyBorder="1" applyAlignment="1"/>
    <xf numFmtId="0" fontId="0" fillId="0" borderId="15" xfId="0" applyFont="1" applyBorder="1" applyAlignment="1"/>
    <xf numFmtId="0" fontId="0" fillId="0" borderId="0" xfId="0" applyFont="1" applyBorder="1" applyAlignment="1"/>
    <xf numFmtId="0" fontId="0" fillId="0" borderId="16" xfId="0" applyFont="1" applyBorder="1" applyAlignment="1"/>
    <xf numFmtId="0" fontId="3" fillId="3" borderId="17" xfId="0" applyFont="1" applyFill="1" applyBorder="1" applyAlignment="1">
      <alignment horizontal="center"/>
    </xf>
    <xf numFmtId="0" fontId="0" fillId="0" borderId="18" xfId="0" pivotButton="1" applyFont="1" applyBorder="1" applyAlignment="1"/>
    <xf numFmtId="0" fontId="0" fillId="0" borderId="18" xfId="0" applyFont="1" applyBorder="1" applyAlignment="1">
      <alignment horizontal="left"/>
    </xf>
    <xf numFmtId="0" fontId="0" fillId="0" borderId="19" xfId="0" applyFont="1" applyBorder="1" applyAlignment="1">
      <alignment horizontal="left"/>
    </xf>
    <xf numFmtId="0" fontId="0" fillId="0" borderId="20" xfId="0" applyFont="1" applyBorder="1" applyAlignment="1">
      <alignment horizontal="left"/>
    </xf>
    <xf numFmtId="0" fontId="0" fillId="0" borderId="21" xfId="0" applyFont="1" applyBorder="1" applyAlignment="1"/>
    <xf numFmtId="0" fontId="0" fillId="0" borderId="22" xfId="0" applyFont="1" applyBorder="1" applyAlignment="1"/>
    <xf numFmtId="0" fontId="0" fillId="0" borderId="23" xfId="0" applyFont="1" applyBorder="1" applyAlignment="1"/>
    <xf numFmtId="0" fontId="3" fillId="3" borderId="15" xfId="0" applyFont="1" applyFill="1" applyBorder="1" applyAlignment="1">
      <alignment horizontal="center"/>
    </xf>
    <xf numFmtId="0" fontId="2" fillId="0" borderId="0" xfId="0" applyFont="1" applyBorder="1" applyAlignment="1"/>
  </cellXfs>
  <cellStyles count="2">
    <cellStyle name="Normal" xfId="0" builtinId="0"/>
    <cellStyle name="Percent" xfId="1" builtinId="5"/>
  </cellStyles>
  <dxfs count="2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numFmt numFmtId="164" formatCode="0.0"/>
    </dxf>
    <dxf>
      <font>
        <b/>
        <family val="2"/>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27"/>
      <tableStyleElement type="firstRowStripe" dxfId="26"/>
      <tableStyleElement type="secondRowStripe" dxfId="25"/>
    </tableStyle>
    <tableStyle name="Slicer Style 2" pivot="0" table="0" count="4" xr9:uid="{D8A9ED89-A22E-429E-BD89-A2D0772197C4}">
      <tableStyleElement type="wholeTable" dxfId="24"/>
    </tableStyle>
  </tableStyles>
  <colors>
    <mruColors>
      <color rgb="FF602928"/>
      <color rgb="FFAC2E7C"/>
      <color rgb="FF5C1E52"/>
      <color rgb="FFFCF6FB"/>
    </mruColors>
  </colors>
  <extLst>
    <ext xmlns:x14="http://schemas.microsoft.com/office/spreadsheetml/2009/9/main" uri="{46F421CA-312F-682f-3DD2-61675219B42D}">
      <x14:dxfs count="3">
        <dxf>
          <font>
            <color theme="0"/>
          </font>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ont>
            <color theme="0"/>
          </font>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303099643569383"/>
          <c:y val="7.575766613894791E-2"/>
          <c:w val="0.59393884225189331"/>
          <c:h val="0.84848466772210429"/>
        </c:manualLayout>
      </c:layout>
      <c:doughnutChart>
        <c:varyColors val="1"/>
        <c:ser>
          <c:idx val="0"/>
          <c:order val="0"/>
          <c:dPt>
            <c:idx val="0"/>
            <c:bubble3D val="0"/>
            <c:spPr>
              <a:gradFill>
                <a:gsLst>
                  <a:gs pos="0">
                    <a:schemeClr val="accent1">
                      <a:lumMod val="50000"/>
                    </a:schemeClr>
                  </a:gs>
                  <a:gs pos="100000">
                    <a:schemeClr val="accent3">
                      <a:lumMod val="50000"/>
                    </a:schemeClr>
                  </a:gs>
                </a:gsLst>
                <a:lin ang="5400000" scaled="1"/>
              </a:gradFill>
              <a:ln w="19050">
                <a:noFill/>
              </a:ln>
              <a:effectLst/>
            </c:spPr>
            <c:extLst>
              <c:ext xmlns:c16="http://schemas.microsoft.com/office/drawing/2014/chart" uri="{C3380CC4-5D6E-409C-BE32-E72D297353CC}">
                <c16:uniqueId val="{00000001-A074-432D-9001-781472D9121D}"/>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A074-432D-9001-781472D9121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A074-432D-9001-781472D912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698733519769212E-2"/>
          <c:y val="0.16452985916620932"/>
          <c:w val="0.87660253296046153"/>
          <c:h val="0.58119672212237639"/>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602928"/>
              </a:solidFill>
              <a:ln>
                <a:noFill/>
              </a:ln>
              <a:effectLst/>
            </c:spPr>
            <c:extLst>
              <c:ext xmlns:c16="http://schemas.microsoft.com/office/drawing/2014/chart" uri="{C3380CC4-5D6E-409C-BE32-E72D297353CC}">
                <c16:uniqueId val="{00000002-CA95-47D8-B721-4A3A92BE8A77}"/>
              </c:ext>
            </c:extLst>
          </c:dPt>
          <c:val>
            <c:numRef>
              <c:f>Rating!$B$6</c:f>
              <c:numCache>
                <c:formatCode>0.0</c:formatCode>
                <c:ptCount val="1"/>
                <c:pt idx="0">
                  <c:v>2.6265306122448981</c:v>
                </c:pt>
              </c:numCache>
            </c:numRef>
          </c:val>
          <c:extLst>
            <c:ext xmlns:c16="http://schemas.microsoft.com/office/drawing/2014/chart" uri="{C3380CC4-5D6E-409C-BE32-E72D297353CC}">
              <c16:uniqueId val="{00000000-CA95-47D8-B721-4A3A92BE8A77}"/>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CA95-47D8-B721-4A3A92BE8A77}"/>
            </c:ext>
          </c:extLst>
        </c:ser>
        <c:dLbls>
          <c:showLegendKey val="0"/>
          <c:showVal val="0"/>
          <c:showCatName val="0"/>
          <c:showSerName val="0"/>
          <c:showPercent val="0"/>
          <c:showBubbleSize val="0"/>
        </c:dLbls>
        <c:gapWidth val="0"/>
        <c:overlap val="100"/>
        <c:axId val="476635903"/>
        <c:axId val="749553743"/>
      </c:barChart>
      <c:catAx>
        <c:axId val="476635903"/>
        <c:scaling>
          <c:orientation val="minMax"/>
        </c:scaling>
        <c:delete val="1"/>
        <c:axPos val="l"/>
        <c:majorTickMark val="none"/>
        <c:minorTickMark val="none"/>
        <c:tickLblPos val="nextTo"/>
        <c:crossAx val="749553743"/>
        <c:crosses val="autoZero"/>
        <c:auto val="1"/>
        <c:lblAlgn val="ctr"/>
        <c:lblOffset val="100"/>
        <c:noMultiLvlLbl val="0"/>
      </c:catAx>
      <c:valAx>
        <c:axId val="749553743"/>
        <c:scaling>
          <c:orientation val="minMax"/>
          <c:max val="4"/>
          <c:min val="0"/>
        </c:scaling>
        <c:delete val="1"/>
        <c:axPos val="b"/>
        <c:numFmt formatCode="0.0" sourceLinked="1"/>
        <c:majorTickMark val="none"/>
        <c:minorTickMark val="none"/>
        <c:tickLblPos val="nextTo"/>
        <c:crossAx val="47663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AC2E7C"/>
                  </a:gs>
                  <a:gs pos="100000">
                    <a:srgbClr val="AC2E7C"/>
                  </a:gs>
                </a:gsLst>
                <a:lin ang="10800000" scaled="0"/>
              </a:gradFill>
              <a:ln w="19050">
                <a:noFill/>
              </a:ln>
              <a:effectLst/>
            </c:spPr>
            <c:extLst>
              <c:ext xmlns:c16="http://schemas.microsoft.com/office/drawing/2014/chart" uri="{C3380CC4-5D6E-409C-BE32-E72D297353CC}">
                <c16:uniqueId val="{00000001-C063-467B-B9FC-CD1D6CFAE036}"/>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063-467B-B9FC-CD1D6CFAE036}"/>
              </c:ext>
            </c:extLst>
          </c:dPt>
          <c:val>
            <c:numRef>
              <c:f>'Employees by Gender'!$C$10:$C$11</c:f>
              <c:numCache>
                <c:formatCode>0%</c:formatCode>
                <c:ptCount val="2"/>
                <c:pt idx="0">
                  <c:v>0.4</c:v>
                </c:pt>
                <c:pt idx="1">
                  <c:v>0.6</c:v>
                </c:pt>
              </c:numCache>
            </c:numRef>
          </c:val>
          <c:extLst>
            <c:ext xmlns:c16="http://schemas.microsoft.com/office/drawing/2014/chart" uri="{C3380CC4-5D6E-409C-BE32-E72D297353CC}">
              <c16:uniqueId val="{00000004-C063-467B-B9FC-CD1D6CFAE03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C063-467B-B9FC-CD1D6CFAE036}"/>
              </c:ext>
            </c:extLst>
          </c:dPt>
          <c:dPt>
            <c:idx val="1"/>
            <c:bubble3D val="0"/>
            <c:spPr>
              <a:gradFill>
                <a:gsLst>
                  <a:gs pos="0">
                    <a:schemeClr val="accent1">
                      <a:lumMod val="50000"/>
                    </a:schemeClr>
                  </a:gs>
                  <a:gs pos="100000">
                    <a:schemeClr val="accent1">
                      <a:lumMod val="75000"/>
                    </a:schemeClr>
                  </a:gs>
                </a:gsLst>
                <a:lin ang="10800000" scaled="0"/>
              </a:gradFill>
              <a:ln w="19050">
                <a:noFill/>
              </a:ln>
              <a:effectLst/>
            </c:spPr>
            <c:extLst>
              <c:ext xmlns:c16="http://schemas.microsoft.com/office/drawing/2014/chart" uri="{C3380CC4-5D6E-409C-BE32-E72D297353CC}">
                <c16:uniqueId val="{00000003-C063-467B-B9FC-CD1D6CFAE036}"/>
              </c:ext>
            </c:extLst>
          </c:dPt>
          <c:val>
            <c:numRef>
              <c:f>'Employees by Gender'!$C$10:$C$11</c:f>
              <c:numCache>
                <c:formatCode>0%</c:formatCode>
                <c:ptCount val="2"/>
                <c:pt idx="0">
                  <c:v>0.4</c:v>
                </c:pt>
                <c:pt idx="1">
                  <c:v>0.6</c:v>
                </c:pt>
              </c:numCache>
            </c:numRef>
          </c:val>
          <c:extLst>
            <c:ext xmlns:c16="http://schemas.microsoft.com/office/drawing/2014/chart" uri="{C3380CC4-5D6E-409C-BE32-E72D297353CC}">
              <c16:uniqueId val="{00000004-C063-467B-B9FC-CD1D6CFAE03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Education!PivotTable3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0109507380017"/>
          <c:y val="6.1183964458116795E-2"/>
          <c:w val="0.75359890492619985"/>
          <c:h val="0.8776320710837664"/>
        </c:manualLayout>
      </c:layout>
      <c:barChart>
        <c:barDir val="bar"/>
        <c:grouping val="clustered"/>
        <c:varyColors val="0"/>
        <c:ser>
          <c:idx val="0"/>
          <c:order val="0"/>
          <c:tx>
            <c:strRef>
              <c:f>'Attrition by Education'!$B$3</c:f>
              <c:strCache>
                <c:ptCount val="1"/>
                <c:pt idx="0">
                  <c:v>Total</c:v>
                </c:pt>
              </c:strCache>
            </c:strRef>
          </c:tx>
          <c:spPr>
            <a:gradFill>
              <a:gsLst>
                <a:gs pos="0">
                  <a:schemeClr val="accent6">
                    <a:lumMod val="50000"/>
                  </a:schemeClr>
                </a:gs>
                <a:gs pos="100000">
                  <a:schemeClr val="accent6">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1-7705-4248-A25B-87B2E19131D8}"/>
            </c:ext>
          </c:extLst>
        </c:ser>
        <c:dLbls>
          <c:dLblPos val="outEnd"/>
          <c:showLegendKey val="0"/>
          <c:showVal val="1"/>
          <c:showCatName val="0"/>
          <c:showSerName val="0"/>
          <c:showPercent val="0"/>
          <c:showBubbleSize val="0"/>
        </c:dLbls>
        <c:gapWidth val="75"/>
        <c:axId val="581480783"/>
        <c:axId val="748624895"/>
      </c:barChart>
      <c:catAx>
        <c:axId val="581480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8624895"/>
        <c:crosses val="autoZero"/>
        <c:auto val="1"/>
        <c:lblAlgn val="ctr"/>
        <c:lblOffset val="100"/>
        <c:noMultiLvlLbl val="0"/>
      </c:catAx>
      <c:valAx>
        <c:axId val="748624895"/>
        <c:scaling>
          <c:orientation val="minMax"/>
        </c:scaling>
        <c:delete val="1"/>
        <c:axPos val="b"/>
        <c:numFmt formatCode="General" sourceLinked="1"/>
        <c:majorTickMark val="out"/>
        <c:minorTickMark val="none"/>
        <c:tickLblPos val="nextTo"/>
        <c:crossAx val="58148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2.1787534175696597E-2"/>
              <c:y val="8.56071466137042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50000"/>
                </a:schemeClr>
              </a:gs>
              <a:gs pos="100000">
                <a:schemeClr val="accent1">
                  <a:lumMod val="75000"/>
                </a:schemeClr>
              </a:gs>
            </a:gsLst>
            <a:lin ang="10800000" scaled="0"/>
          </a:gradFill>
          <a:ln w="19050">
            <a:solidFill>
              <a:schemeClr val="lt1"/>
            </a:solidFill>
          </a:ln>
          <a:effectLst/>
        </c:spPr>
      </c:pivotFmt>
      <c:pivotFmt>
        <c:idx val="8"/>
        <c:spPr>
          <a:solidFill>
            <a:schemeClr val="bg1">
              <a:lumMod val="65000"/>
            </a:schemeClr>
          </a:solidFill>
          <a:ln w="19050">
            <a:solidFill>
              <a:schemeClr val="lt1"/>
            </a:solidFill>
          </a:ln>
          <a:effectLst/>
        </c:spPr>
      </c:pivotFmt>
    </c:pivotFmts>
    <c:plotArea>
      <c:layout/>
      <c:pieChart>
        <c:varyColors val="1"/>
        <c:ser>
          <c:idx val="0"/>
          <c:order val="0"/>
          <c:tx>
            <c:strRef>
              <c:f>'Dept wise Attrition'!$C$8</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DB5A-4831-BBF4-8AD82937672C}"/>
              </c:ext>
            </c:extLst>
          </c:dPt>
          <c:dPt>
            <c:idx val="1"/>
            <c:bubble3D val="0"/>
            <c:spPr>
              <a:gradFill>
                <a:gsLst>
                  <a:gs pos="0">
                    <a:schemeClr val="accent1">
                      <a:lumMod val="50000"/>
                    </a:schemeClr>
                  </a:gs>
                  <a:gs pos="10000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3-DB5A-4831-BBF4-8AD82937672C}"/>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DB5A-4831-BBF4-8AD82937672C}"/>
              </c:ext>
            </c:extLst>
          </c:dPt>
          <c:dLbls>
            <c:dLbl>
              <c:idx val="0"/>
              <c:layout>
                <c:manualLayout>
                  <c:x val="-2.1787534175696597E-2"/>
                  <c:y val="8.560714661370429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5A-4831-BBF4-8AD82937672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Attrition'!$B$9:$B$12</c:f>
              <c:strCache>
                <c:ptCount val="3"/>
                <c:pt idx="0">
                  <c:v>HR</c:v>
                </c:pt>
                <c:pt idx="1">
                  <c:v>R&amp;D</c:v>
                </c:pt>
                <c:pt idx="2">
                  <c:v>Sales</c:v>
                </c:pt>
              </c:strCache>
            </c:strRef>
          </c:cat>
          <c:val>
            <c:numRef>
              <c:f>'Dept wise Attrition'!$C$9:$C$12</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DB5A-4831-BBF4-8AD82937672C}"/>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Job Role</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50000"/>
                </a:schemeClr>
              </a:gs>
              <a:gs pos="100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Group'!$C$8</c:f>
              <c:strCache>
                <c:ptCount val="1"/>
                <c:pt idx="0">
                  <c:v>Total</c:v>
                </c:pt>
              </c:strCache>
            </c:strRef>
          </c:tx>
          <c:spPr>
            <a:gradFill>
              <a:gsLst>
                <a:gs pos="0">
                  <a:schemeClr val="accent2">
                    <a:lumMod val="50000"/>
                  </a:schemeClr>
                </a:gs>
                <a:gs pos="100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Group'!$B$9:$B$14</c:f>
              <c:strCache>
                <c:ptCount val="5"/>
                <c:pt idx="0">
                  <c:v>25 - 34</c:v>
                </c:pt>
                <c:pt idx="1">
                  <c:v>35 - 44</c:v>
                </c:pt>
                <c:pt idx="2">
                  <c:v>Under 25</c:v>
                </c:pt>
                <c:pt idx="3">
                  <c:v>45 - 54</c:v>
                </c:pt>
                <c:pt idx="4">
                  <c:v>Over 55</c:v>
                </c:pt>
              </c:strCache>
            </c:strRef>
          </c:cat>
          <c:val>
            <c:numRef>
              <c:f>'Attrition by Age Group'!$C$9:$C$14</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B09-4D0B-BDE5-EB728A909A2A}"/>
            </c:ext>
          </c:extLst>
        </c:ser>
        <c:dLbls>
          <c:dLblPos val="outEnd"/>
          <c:showLegendKey val="0"/>
          <c:showVal val="1"/>
          <c:showCatName val="0"/>
          <c:showSerName val="0"/>
          <c:showPercent val="0"/>
          <c:showBubbleSize val="0"/>
        </c:dLbls>
        <c:gapWidth val="107"/>
        <c:overlap val="-27"/>
        <c:axId val="753396495"/>
        <c:axId val="699738287"/>
      </c:barChart>
      <c:catAx>
        <c:axId val="75339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99738287"/>
        <c:crosses val="autoZero"/>
        <c:auto val="1"/>
        <c:lblAlgn val="ctr"/>
        <c:lblOffset val="100"/>
        <c:noMultiLvlLbl val="0"/>
      </c:catAx>
      <c:valAx>
        <c:axId val="699738287"/>
        <c:scaling>
          <c:orientation val="minMax"/>
        </c:scaling>
        <c:delete val="1"/>
        <c:axPos val="l"/>
        <c:numFmt formatCode="General" sourceLinked="1"/>
        <c:majorTickMark val="none"/>
        <c:minorTickMark val="none"/>
        <c:tickLblPos val="nextTo"/>
        <c:crossAx val="7533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FE-4E1E-8B19-597330E4B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FE-4E1E-8B19-597330E4B130}"/>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8670-4BBC-91E8-BF95BC64766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840-47BD-85F0-BF13227B0FA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3-7840-47BD-85F0-BF13227B0FA0}"/>
            </c:ext>
          </c:extLst>
        </c:ser>
        <c:dLbls>
          <c:showLegendKey val="0"/>
          <c:showVal val="0"/>
          <c:showCatName val="0"/>
          <c:showSerName val="0"/>
          <c:showPercent val="0"/>
          <c:showBubbleSize val="0"/>
        </c:dLbls>
        <c:gapWidth val="0"/>
        <c:overlap val="100"/>
        <c:axId val="476635903"/>
        <c:axId val="749553743"/>
      </c:barChart>
      <c:catAx>
        <c:axId val="476635903"/>
        <c:scaling>
          <c:orientation val="minMax"/>
        </c:scaling>
        <c:delete val="1"/>
        <c:axPos val="l"/>
        <c:majorTickMark val="none"/>
        <c:minorTickMark val="none"/>
        <c:tickLblPos val="nextTo"/>
        <c:crossAx val="749553743"/>
        <c:crosses val="autoZero"/>
        <c:auto val="1"/>
        <c:lblAlgn val="ctr"/>
        <c:lblOffset val="100"/>
        <c:noMultiLvlLbl val="0"/>
      </c:catAx>
      <c:valAx>
        <c:axId val="749553743"/>
        <c:scaling>
          <c:orientation val="minMax"/>
          <c:max val="4"/>
          <c:min val="0"/>
        </c:scaling>
        <c:delete val="1"/>
        <c:axPos val="b"/>
        <c:numFmt formatCode="0.0" sourceLinked="1"/>
        <c:majorTickMark val="none"/>
        <c:minorTickMark val="none"/>
        <c:tickLblPos val="nextTo"/>
        <c:crossAx val="47663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26-4269-AADA-853AE26DED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26-4269-AADA-853AE26DED56}"/>
              </c:ext>
            </c:extLst>
          </c:dPt>
          <c:val>
            <c:numRef>
              <c:f>'Employees by Gender'!$C$10:$C$11</c:f>
              <c:numCache>
                <c:formatCode>0%</c:formatCode>
                <c:ptCount val="2"/>
                <c:pt idx="0">
                  <c:v>0.4</c:v>
                </c:pt>
                <c:pt idx="1">
                  <c:v>0.6</c:v>
                </c:pt>
              </c:numCache>
            </c:numRef>
          </c:val>
          <c:extLst>
            <c:ext xmlns:c16="http://schemas.microsoft.com/office/drawing/2014/chart" uri="{C3380CC4-5D6E-409C-BE32-E72D297353CC}">
              <c16:uniqueId val="{00000000-B6B0-496C-A115-8CC8CFFD7FB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Education!PivotTable3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Education'!$A$4:$A$9</c:f>
              <c:strCache>
                <c:ptCount val="5"/>
                <c:pt idx="0">
                  <c:v>Doctoral Degree</c:v>
                </c:pt>
                <c:pt idx="1">
                  <c:v>High School</c:v>
                </c:pt>
                <c:pt idx="2">
                  <c:v>Associates Degree</c:v>
                </c:pt>
                <c:pt idx="3">
                  <c:v>Master's Degree</c:v>
                </c:pt>
                <c:pt idx="4">
                  <c:v>Bachelor's Degree</c:v>
                </c:pt>
              </c:strCache>
            </c:strRef>
          </c:cat>
          <c:val>
            <c:numRef>
              <c:f>'Attrition by 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8B0-455E-AA41-A5E350043E20}"/>
            </c:ext>
          </c:extLst>
        </c:ser>
        <c:dLbls>
          <c:dLblPos val="outEnd"/>
          <c:showLegendKey val="0"/>
          <c:showVal val="1"/>
          <c:showCatName val="0"/>
          <c:showSerName val="0"/>
          <c:showPercent val="0"/>
          <c:showBubbleSize val="0"/>
        </c:dLbls>
        <c:gapWidth val="182"/>
        <c:axId val="581480783"/>
        <c:axId val="748624895"/>
      </c:barChart>
      <c:catAx>
        <c:axId val="581480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24895"/>
        <c:crosses val="autoZero"/>
        <c:auto val="1"/>
        <c:lblAlgn val="ctr"/>
        <c:lblOffset val="100"/>
        <c:noMultiLvlLbl val="0"/>
      </c:catAx>
      <c:valAx>
        <c:axId val="748624895"/>
        <c:scaling>
          <c:orientation val="minMax"/>
        </c:scaling>
        <c:delete val="1"/>
        <c:axPos val="b"/>
        <c:numFmt formatCode="General" sourceLinked="1"/>
        <c:majorTickMark val="out"/>
        <c:minorTickMark val="none"/>
        <c:tickLblPos val="nextTo"/>
        <c:crossAx val="58148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9A-43BD-B6B0-20D34BAEFA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9A-43BD-B6B0-20D34BAEFA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9A-43BD-B6B0-20D34BAEFABC}"/>
              </c:ext>
            </c:extLst>
          </c:dPt>
          <c:cat>
            <c:strRef>
              <c:f>'Dept wise Attrition'!$B$9:$B$12</c:f>
              <c:strCache>
                <c:ptCount val="3"/>
                <c:pt idx="0">
                  <c:v>HR</c:v>
                </c:pt>
                <c:pt idx="1">
                  <c:v>R&amp;D</c:v>
                </c:pt>
                <c:pt idx="2">
                  <c:v>Sales</c:v>
                </c:pt>
              </c:strCache>
            </c:strRef>
          </c:cat>
          <c:val>
            <c:numRef>
              <c:f>'Dept wise Attrition'!$C$9:$C$12</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EEC-417D-BD3A-5C16BB32B7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Job Role</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Group'!$C$8</c:f>
              <c:strCache>
                <c:ptCount val="1"/>
                <c:pt idx="0">
                  <c:v>Total</c:v>
                </c:pt>
              </c:strCache>
            </c:strRef>
          </c:tx>
          <c:spPr>
            <a:solidFill>
              <a:schemeClr val="accent1"/>
            </a:solidFill>
            <a:ln>
              <a:noFill/>
            </a:ln>
            <a:effectLst/>
          </c:spPr>
          <c:invertIfNegative val="0"/>
          <c:cat>
            <c:strRef>
              <c:f>'Attrition by Age Group'!$B$9:$B$14</c:f>
              <c:strCache>
                <c:ptCount val="5"/>
                <c:pt idx="0">
                  <c:v>25 - 34</c:v>
                </c:pt>
                <c:pt idx="1">
                  <c:v>35 - 44</c:v>
                </c:pt>
                <c:pt idx="2">
                  <c:v>Under 25</c:v>
                </c:pt>
                <c:pt idx="3">
                  <c:v>45 - 54</c:v>
                </c:pt>
                <c:pt idx="4">
                  <c:v>Over 55</c:v>
                </c:pt>
              </c:strCache>
            </c:strRef>
          </c:cat>
          <c:val>
            <c:numRef>
              <c:f>'Attrition by Age Group'!$C$9:$C$14</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20B-4352-9708-97D252AC5946}"/>
            </c:ext>
          </c:extLst>
        </c:ser>
        <c:dLbls>
          <c:showLegendKey val="0"/>
          <c:showVal val="0"/>
          <c:showCatName val="0"/>
          <c:showSerName val="0"/>
          <c:showPercent val="0"/>
          <c:showBubbleSize val="0"/>
        </c:dLbls>
        <c:gapWidth val="219"/>
        <c:overlap val="-27"/>
        <c:axId val="753396495"/>
        <c:axId val="699738287"/>
      </c:barChart>
      <c:catAx>
        <c:axId val="75339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38287"/>
        <c:crosses val="autoZero"/>
        <c:auto val="1"/>
        <c:lblAlgn val="ctr"/>
        <c:lblOffset val="100"/>
        <c:noMultiLvlLbl val="0"/>
      </c:catAx>
      <c:valAx>
        <c:axId val="699738287"/>
        <c:scaling>
          <c:orientation val="minMax"/>
        </c:scaling>
        <c:delete val="1"/>
        <c:axPos val="l"/>
        <c:numFmt formatCode="General" sourceLinked="1"/>
        <c:majorTickMark val="none"/>
        <c:minorTickMark val="none"/>
        <c:tickLblPos val="nextTo"/>
        <c:crossAx val="7533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9DE180C-A52C-464E-9C11-CCF3C2F56433}">
          <cx:dataPt idx="2">
            <cx:spPr>
              <a:solidFill>
                <a:srgbClr val="4472C4"/>
              </a:solidFill>
            </cx:spPr>
          </cx:dataPt>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69581FE-8016-47C4-8749-238D18796CC5}">
          <cx:spPr>
            <a:gradFill>
              <a:gsLst>
                <a:gs pos="0">
                  <a:schemeClr val="accent6">
                    <a:lumMod val="50000"/>
                  </a:schemeClr>
                </a:gs>
                <a:gs pos="100000">
                  <a:schemeClr val="accent6">
                    <a:lumMod val="75000"/>
                  </a:schemeClr>
                </a:gs>
              </a:gsLst>
              <a:lin ang="5400000" scaled="0"/>
            </a:gradFill>
          </cx:spPr>
          <cx:dataLabels>
            <cx:txPr>
              <a:bodyPr spcFirstLastPara="1" vertOverflow="ellipsis" horzOverflow="overflow" wrap="square" lIns="0" tIns="0" rIns="0" bIns="0" anchor="ctr" anchorCtr="1"/>
              <a:lstStyle/>
              <a:p>
                <a:pPr algn="ctr" rtl="0">
                  <a:defRPr sz="1000" b="1">
                    <a:solidFill>
                      <a:schemeClr val="bg2"/>
                    </a:solidFill>
                  </a:defRPr>
                </a:pPr>
                <a:endParaRPr lang="en-US" sz="1000" b="1"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09DE180C-A52C-464E-9C11-CCF3C2F56433}">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969581FE-8016-47C4-8749-238D18796CC5}">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4</xdr:col>
      <xdr:colOff>263979</xdr:colOff>
      <xdr:row>1</xdr:row>
      <xdr:rowOff>8164</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2876550" y="204107"/>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ln>
                <a:headEnd type="none" w="sm" len="sm"/>
                <a:tailEnd type="none" w="sm" len="sm"/>
              </a:ln>
            </xdr:spPr>
            <xdr:style>
              <a:lnRef idx="1">
                <a:schemeClr val="dk1"/>
              </a:lnRef>
              <a:fillRef idx="0">
                <a:schemeClr val="dk1"/>
              </a:fillRef>
              <a:effectRef idx="0">
                <a:schemeClr val="dk1"/>
              </a:effectRef>
              <a:fontRef idx="minor">
                <a:schemeClr val="tx1"/>
              </a:fontRef>
            </xdr:style>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ln>
              <a:headEnd type="none" w="sm" len="sm"/>
              <a:tailEnd type="none" w="sm" len="sm"/>
            </a:ln>
          </xdr:spPr>
          <xdr:style>
            <a:lnRef idx="1">
              <a:schemeClr val="dk1"/>
            </a:lnRef>
            <a:fillRef idx="0">
              <a:schemeClr val="dk1"/>
            </a:fillRef>
            <a:effectRef idx="0">
              <a:schemeClr val="dk1"/>
            </a:effectRef>
            <a:fontRef idx="minor">
              <a:schemeClr val="tx1"/>
            </a:fontRef>
          </xdr:style>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ln>
              <a:headEnd type="none" w="sm" len="sm"/>
              <a:tailEnd type="none" w="sm" len="sm"/>
            </a:ln>
          </xdr:spPr>
          <xdr:style>
            <a:lnRef idx="1">
              <a:schemeClr val="dk1"/>
            </a:lnRef>
            <a:fillRef idx="0">
              <a:schemeClr val="dk1"/>
            </a:fillRef>
            <a:effectRef idx="0">
              <a:schemeClr val="dk1"/>
            </a:effectRef>
            <a:fontRef idx="minor">
              <a:schemeClr val="tx1"/>
            </a:fontRef>
          </xdr:style>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ln>
              <a:headEnd type="none" w="sm" len="sm"/>
              <a:tailEnd type="none" w="sm" len="sm"/>
            </a:ln>
          </xdr:spPr>
          <xdr:style>
            <a:lnRef idx="1">
              <a:schemeClr val="dk1"/>
            </a:lnRef>
            <a:fillRef idx="0">
              <a:schemeClr val="dk1"/>
            </a:fillRef>
            <a:effectRef idx="0">
              <a:schemeClr val="dk1"/>
            </a:effectRef>
            <a:fontRef idx="minor">
              <a:schemeClr val="tx1"/>
            </a:fontRef>
          </xdr:style>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ln>
              <a:headEnd type="none" w="sm" len="sm"/>
              <a:tailEnd type="none" w="sm" len="sm"/>
            </a:ln>
          </xdr:spPr>
          <xdr:style>
            <a:lnRef idx="1">
              <a:schemeClr val="dk1"/>
            </a:lnRef>
            <a:fillRef idx="0">
              <a:schemeClr val="dk1"/>
            </a:fillRef>
            <a:effectRef idx="0">
              <a:schemeClr val="dk1"/>
            </a:effectRef>
            <a:fontRef idx="minor">
              <a:schemeClr val="tx1"/>
            </a:fontRef>
          </xdr:style>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ln>
              <a:headEnd type="none" w="sm" len="sm"/>
              <a:tailEnd type="none" w="sm" len="sm"/>
            </a:ln>
          </xdr:spPr>
          <xdr:style>
            <a:lnRef idx="1">
              <a:schemeClr val="dk1"/>
            </a:lnRef>
            <a:fillRef idx="0">
              <a:schemeClr val="dk1"/>
            </a:fillRef>
            <a:effectRef idx="0">
              <a:schemeClr val="dk1"/>
            </a:effectRef>
            <a:fontRef idx="minor">
              <a:schemeClr val="tx1"/>
            </a:fontRef>
          </xdr:style>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4</xdr:col>
      <xdr:colOff>533400</xdr:colOff>
      <xdr:row>5</xdr:row>
      <xdr:rowOff>174172</xdr:rowOff>
    </xdr:from>
    <xdr:to>
      <xdr:col>7</xdr:col>
      <xdr:colOff>587828</xdr:colOff>
      <xdr:row>7</xdr:row>
      <xdr:rowOff>163286</xdr:rowOff>
    </xdr:to>
    <xdr:sp macro="" textlink="">
      <xdr:nvSpPr>
        <xdr:cNvPr id="3" name="TextBox 2">
          <a:extLst>
            <a:ext uri="{FF2B5EF4-FFF2-40B4-BE49-F238E27FC236}">
              <a16:creationId xmlns:a16="http://schemas.microsoft.com/office/drawing/2014/main" id="{BF467035-C158-45AF-B6C9-88F18CDDA2F6}"/>
            </a:ext>
          </a:extLst>
        </xdr:cNvPr>
        <xdr:cNvSpPr txBox="1"/>
      </xdr:nvSpPr>
      <xdr:spPr>
        <a:xfrm>
          <a:off x="3145971" y="1153886"/>
          <a:ext cx="201385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a:p>
          <a:endPar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a:p>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609600</xdr:colOff>
      <xdr:row>7</xdr:row>
      <xdr:rowOff>152399</xdr:rowOff>
    </xdr:from>
    <xdr:to>
      <xdr:col>8</xdr:col>
      <xdr:colOff>293914</xdr:colOff>
      <xdr:row>10</xdr:row>
      <xdr:rowOff>43542</xdr:rowOff>
    </xdr:to>
    <xdr:sp macro="" textlink="'KPI''s'!A8">
      <xdr:nvSpPr>
        <xdr:cNvPr id="5" name="TextBox 4">
          <a:extLst>
            <a:ext uri="{FF2B5EF4-FFF2-40B4-BE49-F238E27FC236}">
              <a16:creationId xmlns:a16="http://schemas.microsoft.com/office/drawing/2014/main" id="{CD57BFBE-045C-4A3B-933E-F9AB27D56705}"/>
            </a:ext>
          </a:extLst>
        </xdr:cNvPr>
        <xdr:cNvSpPr txBox="1"/>
      </xdr:nvSpPr>
      <xdr:spPr>
        <a:xfrm>
          <a:off x="3875314" y="1523999"/>
          <a:ext cx="1643743"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C3A130-6AEC-4609-974F-D8F290D14049}"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1470</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163285</xdr:colOff>
      <xdr:row>5</xdr:row>
      <xdr:rowOff>185057</xdr:rowOff>
    </xdr:from>
    <xdr:to>
      <xdr:col>11</xdr:col>
      <xdr:colOff>544285</xdr:colOff>
      <xdr:row>7</xdr:row>
      <xdr:rowOff>174171</xdr:rowOff>
    </xdr:to>
    <xdr:sp macro="" textlink="">
      <xdr:nvSpPr>
        <xdr:cNvPr id="289" name="TextBox 288">
          <a:extLst>
            <a:ext uri="{FF2B5EF4-FFF2-40B4-BE49-F238E27FC236}">
              <a16:creationId xmlns:a16="http://schemas.microsoft.com/office/drawing/2014/main" id="{01960F90-E592-4B85-8CD5-803A0403E6B9}"/>
            </a:ext>
          </a:extLst>
        </xdr:cNvPr>
        <xdr:cNvSpPr txBox="1"/>
      </xdr:nvSpPr>
      <xdr:spPr>
        <a:xfrm>
          <a:off x="6041571" y="1164771"/>
          <a:ext cx="168728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457199</xdr:colOff>
      <xdr:row>7</xdr:row>
      <xdr:rowOff>141513</xdr:rowOff>
    </xdr:from>
    <xdr:to>
      <xdr:col>12</xdr:col>
      <xdr:colOff>348343</xdr:colOff>
      <xdr:row>10</xdr:row>
      <xdr:rowOff>32656</xdr:rowOff>
    </xdr:to>
    <xdr:sp macro="" textlink="'KPI''s'!B8">
      <xdr:nvSpPr>
        <xdr:cNvPr id="290" name="TextBox 289">
          <a:extLst>
            <a:ext uri="{FF2B5EF4-FFF2-40B4-BE49-F238E27FC236}">
              <a16:creationId xmlns:a16="http://schemas.microsoft.com/office/drawing/2014/main" id="{00CBD535-5058-4E7D-8216-181314FA9D7A}"/>
            </a:ext>
          </a:extLst>
        </xdr:cNvPr>
        <xdr:cNvSpPr txBox="1"/>
      </xdr:nvSpPr>
      <xdr:spPr>
        <a:xfrm>
          <a:off x="6988628" y="1513113"/>
          <a:ext cx="1197429"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20C2B7-F5D3-432A-B56E-B3161B15880F}"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237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489856</xdr:colOff>
      <xdr:row>5</xdr:row>
      <xdr:rowOff>174171</xdr:rowOff>
    </xdr:from>
    <xdr:to>
      <xdr:col>16</xdr:col>
      <xdr:colOff>500743</xdr:colOff>
      <xdr:row>7</xdr:row>
      <xdr:rowOff>155665</xdr:rowOff>
    </xdr:to>
    <xdr:sp macro="" textlink="">
      <xdr:nvSpPr>
        <xdr:cNvPr id="610" name="TextBox 609">
          <a:extLst>
            <a:ext uri="{FF2B5EF4-FFF2-40B4-BE49-F238E27FC236}">
              <a16:creationId xmlns:a16="http://schemas.microsoft.com/office/drawing/2014/main" id="{58669AD7-14A5-4CAD-A85D-DE05070CC6A3}"/>
            </a:ext>
          </a:extLst>
        </xdr:cNvPr>
        <xdr:cNvSpPr txBox="1"/>
      </xdr:nvSpPr>
      <xdr:spPr>
        <a:xfrm>
          <a:off x="8980713" y="1153885"/>
          <a:ext cx="1970316"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10884</xdr:colOff>
      <xdr:row>7</xdr:row>
      <xdr:rowOff>130627</xdr:rowOff>
    </xdr:from>
    <xdr:to>
      <xdr:col>16</xdr:col>
      <xdr:colOff>555170</xdr:colOff>
      <xdr:row>10</xdr:row>
      <xdr:rowOff>21770</xdr:rowOff>
    </xdr:to>
    <xdr:sp macro="" textlink="'KPI''s'!D8">
      <xdr:nvSpPr>
        <xdr:cNvPr id="611" name="TextBox 610">
          <a:extLst>
            <a:ext uri="{FF2B5EF4-FFF2-40B4-BE49-F238E27FC236}">
              <a16:creationId xmlns:a16="http://schemas.microsoft.com/office/drawing/2014/main" id="{452D9FE0-8CDB-4EEE-BA86-FB276B274B8A}"/>
            </a:ext>
          </a:extLst>
        </xdr:cNvPr>
        <xdr:cNvSpPr txBox="1"/>
      </xdr:nvSpPr>
      <xdr:spPr>
        <a:xfrm>
          <a:off x="9808027" y="1502227"/>
          <a:ext cx="1197429" cy="47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F86A0C-551D-4234-A81C-035B2B1BD9D5}"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1233</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152399</xdr:colOff>
      <xdr:row>5</xdr:row>
      <xdr:rowOff>174169</xdr:rowOff>
    </xdr:from>
    <xdr:to>
      <xdr:col>21</xdr:col>
      <xdr:colOff>163286</xdr:colOff>
      <xdr:row>7</xdr:row>
      <xdr:rowOff>155663</xdr:rowOff>
    </xdr:to>
    <xdr:sp macro="" textlink="">
      <xdr:nvSpPr>
        <xdr:cNvPr id="844" name="TextBox 843">
          <a:extLst>
            <a:ext uri="{FF2B5EF4-FFF2-40B4-BE49-F238E27FC236}">
              <a16:creationId xmlns:a16="http://schemas.microsoft.com/office/drawing/2014/main" id="{120BB362-2C54-4CAB-B3B3-8FC44AFA9B49}"/>
            </a:ext>
          </a:extLst>
        </xdr:cNvPr>
        <xdr:cNvSpPr txBox="1"/>
      </xdr:nvSpPr>
      <xdr:spPr>
        <a:xfrm>
          <a:off x="11908970" y="1153883"/>
          <a:ext cx="1970316"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370113</xdr:colOff>
      <xdr:row>7</xdr:row>
      <xdr:rowOff>108855</xdr:rowOff>
    </xdr:from>
    <xdr:to>
      <xdr:col>21</xdr:col>
      <xdr:colOff>261256</xdr:colOff>
      <xdr:row>9</xdr:row>
      <xdr:rowOff>188321</xdr:rowOff>
    </xdr:to>
    <xdr:sp macro="" textlink="'KPI''s'!E8">
      <xdr:nvSpPr>
        <xdr:cNvPr id="845" name="TextBox 844">
          <a:extLst>
            <a:ext uri="{FF2B5EF4-FFF2-40B4-BE49-F238E27FC236}">
              <a16:creationId xmlns:a16="http://schemas.microsoft.com/office/drawing/2014/main" id="{2154E682-6781-4935-B5F7-81293BCA46D3}"/>
            </a:ext>
          </a:extLst>
        </xdr:cNvPr>
        <xdr:cNvSpPr txBox="1"/>
      </xdr:nvSpPr>
      <xdr:spPr>
        <a:xfrm>
          <a:off x="12779827" y="1480455"/>
          <a:ext cx="1197429" cy="47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72304-A9F7-47A6-BB99-7C19EB86D088}"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16.12%</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468084</xdr:colOff>
      <xdr:row>5</xdr:row>
      <xdr:rowOff>152397</xdr:rowOff>
    </xdr:from>
    <xdr:to>
      <xdr:col>25</xdr:col>
      <xdr:colOff>478972</xdr:colOff>
      <xdr:row>7</xdr:row>
      <xdr:rowOff>133891</xdr:rowOff>
    </xdr:to>
    <xdr:sp macro="" textlink="">
      <xdr:nvSpPr>
        <xdr:cNvPr id="850" name="TextBox 849">
          <a:extLst>
            <a:ext uri="{FF2B5EF4-FFF2-40B4-BE49-F238E27FC236}">
              <a16:creationId xmlns:a16="http://schemas.microsoft.com/office/drawing/2014/main" id="{36B9EC64-6F71-43DE-9C97-3707C3FCB563}"/>
            </a:ext>
          </a:extLst>
        </xdr:cNvPr>
        <xdr:cNvSpPr txBox="1"/>
      </xdr:nvSpPr>
      <xdr:spPr>
        <a:xfrm>
          <a:off x="14837227" y="1132111"/>
          <a:ext cx="1970316"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Average Age</a:t>
          </a:r>
        </a:p>
        <a:p>
          <a:pPr algn="ct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24</xdr:col>
      <xdr:colOff>163284</xdr:colOff>
      <xdr:row>7</xdr:row>
      <xdr:rowOff>87083</xdr:rowOff>
    </xdr:from>
    <xdr:to>
      <xdr:col>26</xdr:col>
      <xdr:colOff>54428</xdr:colOff>
      <xdr:row>9</xdr:row>
      <xdr:rowOff>166549</xdr:rowOff>
    </xdr:to>
    <xdr:sp macro="" textlink="'KPI''s'!C8">
      <xdr:nvSpPr>
        <xdr:cNvPr id="851" name="TextBox 850">
          <a:extLst>
            <a:ext uri="{FF2B5EF4-FFF2-40B4-BE49-F238E27FC236}">
              <a16:creationId xmlns:a16="http://schemas.microsoft.com/office/drawing/2014/main" id="{7D591F84-F888-44F9-A1F2-FBF8C41DE4BF}"/>
            </a:ext>
          </a:extLst>
        </xdr:cNvPr>
        <xdr:cNvSpPr txBox="1"/>
      </xdr:nvSpPr>
      <xdr:spPr>
        <a:xfrm>
          <a:off x="15838713" y="1458683"/>
          <a:ext cx="1197429" cy="471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FCEB3E-CDCC-442B-BA00-E14BAA9AAD87}"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37</a:t>
          </a:fld>
          <a:endParaRPr lang="en-IN"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8</xdr:col>
      <xdr:colOff>97971</xdr:colOff>
      <xdr:row>6</xdr:row>
      <xdr:rowOff>65315</xdr:rowOff>
    </xdr:from>
    <xdr:ext cx="376918" cy="304799"/>
    <xdr:pic>
      <xdr:nvPicPr>
        <xdr:cNvPr id="910" name="image4.png">
          <a:extLst>
            <a:ext uri="{FF2B5EF4-FFF2-40B4-BE49-F238E27FC236}">
              <a16:creationId xmlns:a16="http://schemas.microsoft.com/office/drawing/2014/main" id="{C0937CD9-AB7B-44E5-B09F-B0C106D0E878}"/>
            </a:ext>
          </a:extLst>
        </xdr:cNvPr>
        <xdr:cNvPicPr preferRelativeResize="0"/>
      </xdr:nvPicPr>
      <xdr:blipFill>
        <a:blip xmlns:r="http://schemas.openxmlformats.org/officeDocument/2006/relationships" r:embed="rId1" cstate="print"/>
        <a:stretch>
          <a:fillRect/>
        </a:stretch>
      </xdr:blipFill>
      <xdr:spPr>
        <a:xfrm>
          <a:off x="5323114" y="1240972"/>
          <a:ext cx="376918" cy="304799"/>
        </a:xfrm>
        <a:prstGeom prst="rect">
          <a:avLst/>
        </a:prstGeom>
        <a:noFill/>
      </xdr:spPr>
    </xdr:pic>
    <xdr:clientData fLocksWithSheet="0"/>
  </xdr:oneCellAnchor>
  <xdr:oneCellAnchor>
    <xdr:from>
      <xdr:col>12</xdr:col>
      <xdr:colOff>272143</xdr:colOff>
      <xdr:row>6</xdr:row>
      <xdr:rowOff>43543</xdr:rowOff>
    </xdr:from>
    <xdr:ext cx="572861" cy="424544"/>
    <xdr:pic>
      <xdr:nvPicPr>
        <xdr:cNvPr id="911" name="image7.png">
          <a:extLst>
            <a:ext uri="{FF2B5EF4-FFF2-40B4-BE49-F238E27FC236}">
              <a16:creationId xmlns:a16="http://schemas.microsoft.com/office/drawing/2014/main" id="{1E519707-C0D1-43D4-8B27-112254078C62}"/>
            </a:ext>
          </a:extLst>
        </xdr:cNvPr>
        <xdr:cNvPicPr preferRelativeResize="0"/>
      </xdr:nvPicPr>
      <xdr:blipFill>
        <a:blip xmlns:r="http://schemas.openxmlformats.org/officeDocument/2006/relationships" r:embed="rId2" cstate="print"/>
        <a:stretch>
          <a:fillRect/>
        </a:stretch>
      </xdr:blipFill>
      <xdr:spPr>
        <a:xfrm>
          <a:off x="8109857" y="1219200"/>
          <a:ext cx="572861" cy="424544"/>
        </a:xfrm>
        <a:prstGeom prst="rect">
          <a:avLst/>
        </a:prstGeom>
        <a:noFill/>
      </xdr:spPr>
    </xdr:pic>
    <xdr:clientData fLocksWithSheet="0"/>
  </xdr:oneCellAnchor>
  <xdr:oneCellAnchor>
    <xdr:from>
      <xdr:col>17</xdr:col>
      <xdr:colOff>76200</xdr:colOff>
      <xdr:row>6</xdr:row>
      <xdr:rowOff>32656</xdr:rowOff>
    </xdr:from>
    <xdr:ext cx="419100" cy="348343"/>
    <xdr:pic>
      <xdr:nvPicPr>
        <xdr:cNvPr id="912" name="image5.png">
          <a:extLst>
            <a:ext uri="{FF2B5EF4-FFF2-40B4-BE49-F238E27FC236}">
              <a16:creationId xmlns:a16="http://schemas.microsoft.com/office/drawing/2014/main" id="{73F1BE4F-6604-47DA-AC85-5BE496DA002B}"/>
            </a:ext>
          </a:extLst>
        </xdr:cNvPr>
        <xdr:cNvPicPr preferRelativeResize="0"/>
      </xdr:nvPicPr>
      <xdr:blipFill>
        <a:blip xmlns:r="http://schemas.openxmlformats.org/officeDocument/2006/relationships" r:embed="rId3" cstate="print"/>
        <a:stretch>
          <a:fillRect/>
        </a:stretch>
      </xdr:blipFill>
      <xdr:spPr>
        <a:xfrm>
          <a:off x="11179629" y="1208313"/>
          <a:ext cx="419100" cy="348343"/>
        </a:xfrm>
        <a:prstGeom prst="rect">
          <a:avLst/>
        </a:prstGeom>
        <a:noFill/>
      </xdr:spPr>
    </xdr:pic>
    <xdr:clientData fLocksWithSheet="0"/>
  </xdr:oneCellAnchor>
  <xdr:oneCellAnchor>
    <xdr:from>
      <xdr:col>21</xdr:col>
      <xdr:colOff>478972</xdr:colOff>
      <xdr:row>6</xdr:row>
      <xdr:rowOff>54428</xdr:rowOff>
    </xdr:from>
    <xdr:ext cx="390525" cy="314325"/>
    <xdr:pic>
      <xdr:nvPicPr>
        <xdr:cNvPr id="913" name="image2.png">
          <a:extLst>
            <a:ext uri="{FF2B5EF4-FFF2-40B4-BE49-F238E27FC236}">
              <a16:creationId xmlns:a16="http://schemas.microsoft.com/office/drawing/2014/main" id="{E1363BEB-25C8-449D-80CA-62AE4B897983}"/>
            </a:ext>
          </a:extLst>
        </xdr:cNvPr>
        <xdr:cNvPicPr preferRelativeResize="0"/>
      </xdr:nvPicPr>
      <xdr:blipFill>
        <a:blip xmlns:r="http://schemas.openxmlformats.org/officeDocument/2006/relationships" r:embed="rId4" cstate="print"/>
        <a:stretch>
          <a:fillRect/>
        </a:stretch>
      </xdr:blipFill>
      <xdr:spPr>
        <a:xfrm>
          <a:off x="14194972" y="1230085"/>
          <a:ext cx="390525" cy="314325"/>
        </a:xfrm>
        <a:prstGeom prst="rect">
          <a:avLst/>
        </a:prstGeom>
        <a:noFill/>
      </xdr:spPr>
    </xdr:pic>
    <xdr:clientData fLocksWithSheet="0"/>
  </xdr:oneCellAnchor>
  <xdr:oneCellAnchor>
    <xdr:from>
      <xdr:col>26</xdr:col>
      <xdr:colOff>152400</xdr:colOff>
      <xdr:row>6</xdr:row>
      <xdr:rowOff>54428</xdr:rowOff>
    </xdr:from>
    <xdr:ext cx="317047" cy="315685"/>
    <xdr:pic>
      <xdr:nvPicPr>
        <xdr:cNvPr id="914" name="image6.png">
          <a:extLst>
            <a:ext uri="{FF2B5EF4-FFF2-40B4-BE49-F238E27FC236}">
              <a16:creationId xmlns:a16="http://schemas.microsoft.com/office/drawing/2014/main" id="{FDA7FA1A-29FB-4186-834D-5004D1912483}"/>
            </a:ext>
          </a:extLst>
        </xdr:cNvPr>
        <xdr:cNvPicPr preferRelativeResize="0"/>
      </xdr:nvPicPr>
      <xdr:blipFill>
        <a:blip xmlns:r="http://schemas.openxmlformats.org/officeDocument/2006/relationships" r:embed="rId5" cstate="print"/>
        <a:stretch>
          <a:fillRect/>
        </a:stretch>
      </xdr:blipFill>
      <xdr:spPr>
        <a:xfrm>
          <a:off x="17134114" y="1230085"/>
          <a:ext cx="317047" cy="315685"/>
        </a:xfrm>
        <a:prstGeom prst="rect">
          <a:avLst/>
        </a:prstGeom>
        <a:noFill/>
      </xdr:spPr>
    </xdr:pic>
    <xdr:clientData fLocksWithSheet="0"/>
  </xdr:oneCellAnchor>
  <xdr:twoCellAnchor>
    <xdr:from>
      <xdr:col>6</xdr:col>
      <xdr:colOff>76200</xdr:colOff>
      <xdr:row>1</xdr:row>
      <xdr:rowOff>130629</xdr:rowOff>
    </xdr:from>
    <xdr:to>
      <xdr:col>17</xdr:col>
      <xdr:colOff>195942</xdr:colOff>
      <xdr:row>5</xdr:row>
      <xdr:rowOff>10885</xdr:rowOff>
    </xdr:to>
    <xdr:sp macro="" textlink="">
      <xdr:nvSpPr>
        <xdr:cNvPr id="6" name="TextBox 5">
          <a:extLst>
            <a:ext uri="{FF2B5EF4-FFF2-40B4-BE49-F238E27FC236}">
              <a16:creationId xmlns:a16="http://schemas.microsoft.com/office/drawing/2014/main" id="{FD5BF8E1-D7CF-4140-8A4F-40E231CAB4D4}"/>
            </a:ext>
          </a:extLst>
        </xdr:cNvPr>
        <xdr:cNvSpPr txBox="1"/>
      </xdr:nvSpPr>
      <xdr:spPr>
        <a:xfrm>
          <a:off x="3995057" y="326572"/>
          <a:ext cx="7304314" cy="664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oneCellAnchor>
    <xdr:from>
      <xdr:col>4</xdr:col>
      <xdr:colOff>609601</xdr:colOff>
      <xdr:row>2</xdr:row>
      <xdr:rowOff>43543</xdr:rowOff>
    </xdr:from>
    <xdr:ext cx="542925" cy="523875"/>
    <xdr:pic>
      <xdr:nvPicPr>
        <xdr:cNvPr id="915" name="image1.png">
          <a:extLst>
            <a:ext uri="{FF2B5EF4-FFF2-40B4-BE49-F238E27FC236}">
              <a16:creationId xmlns:a16="http://schemas.microsoft.com/office/drawing/2014/main" id="{DADE9F70-C7B2-4E76-B300-0FE814BC39E2}"/>
            </a:ext>
          </a:extLst>
        </xdr:cNvPr>
        <xdr:cNvPicPr preferRelativeResize="0"/>
      </xdr:nvPicPr>
      <xdr:blipFill>
        <a:blip xmlns:r="http://schemas.openxmlformats.org/officeDocument/2006/relationships" r:embed="rId6" cstate="print"/>
        <a:stretch>
          <a:fillRect/>
        </a:stretch>
      </xdr:blipFill>
      <xdr:spPr>
        <a:xfrm>
          <a:off x="3222172" y="435429"/>
          <a:ext cx="542925" cy="523875"/>
        </a:xfrm>
        <a:prstGeom prst="rect">
          <a:avLst/>
        </a:prstGeom>
        <a:noFill/>
      </xdr:spPr>
    </xdr:pic>
    <xdr:clientData fLocksWithSheet="0"/>
  </xdr:oneCellAnchor>
  <xdr:oneCellAnchor>
    <xdr:from>
      <xdr:col>17</xdr:col>
      <xdr:colOff>587828</xdr:colOff>
      <xdr:row>1</xdr:row>
      <xdr:rowOff>163286</xdr:rowOff>
    </xdr:from>
    <xdr:ext cx="723900" cy="628650"/>
    <xdr:pic>
      <xdr:nvPicPr>
        <xdr:cNvPr id="916" name="image3.png">
          <a:extLst>
            <a:ext uri="{FF2B5EF4-FFF2-40B4-BE49-F238E27FC236}">
              <a16:creationId xmlns:a16="http://schemas.microsoft.com/office/drawing/2014/main" id="{E46E6BDA-2017-4622-BA22-8C84C1875993}"/>
            </a:ext>
          </a:extLst>
        </xdr:cNvPr>
        <xdr:cNvPicPr preferRelativeResize="0"/>
      </xdr:nvPicPr>
      <xdr:blipFill>
        <a:blip xmlns:r="http://schemas.openxmlformats.org/officeDocument/2006/relationships" r:embed="rId7" cstate="print"/>
        <a:stretch>
          <a:fillRect/>
        </a:stretch>
      </xdr:blipFill>
      <xdr:spPr>
        <a:xfrm>
          <a:off x="11691257" y="359229"/>
          <a:ext cx="723900" cy="628650"/>
        </a:xfrm>
        <a:prstGeom prst="rect">
          <a:avLst/>
        </a:prstGeom>
        <a:noFill/>
      </xdr:spPr>
    </xdr:pic>
    <xdr:clientData fLocksWithSheet="0"/>
  </xdr:oneCellAnchor>
  <xdr:twoCellAnchor>
    <xdr:from>
      <xdr:col>19</xdr:col>
      <xdr:colOff>1</xdr:colOff>
      <xdr:row>1</xdr:row>
      <xdr:rowOff>43543</xdr:rowOff>
    </xdr:from>
    <xdr:to>
      <xdr:col>21</xdr:col>
      <xdr:colOff>500743</xdr:colOff>
      <xdr:row>5</xdr:row>
      <xdr:rowOff>87086</xdr:rowOff>
    </xdr:to>
    <xdr:sp macro="" textlink="">
      <xdr:nvSpPr>
        <xdr:cNvPr id="7" name="TextBox 6">
          <a:extLst>
            <a:ext uri="{FF2B5EF4-FFF2-40B4-BE49-F238E27FC236}">
              <a16:creationId xmlns:a16="http://schemas.microsoft.com/office/drawing/2014/main" id="{765C5952-F726-45A1-9179-5B687AD68673}"/>
            </a:ext>
          </a:extLst>
        </xdr:cNvPr>
        <xdr:cNvSpPr txBox="1"/>
      </xdr:nvSpPr>
      <xdr:spPr>
        <a:xfrm>
          <a:off x="12409715" y="239486"/>
          <a:ext cx="1807028" cy="827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 RATING</a:t>
          </a:r>
        </a:p>
      </xdr:txBody>
    </xdr:sp>
    <xdr:clientData/>
  </xdr:twoCellAnchor>
  <xdr:twoCellAnchor>
    <xdr:from>
      <xdr:col>21</xdr:col>
      <xdr:colOff>478972</xdr:colOff>
      <xdr:row>1</xdr:row>
      <xdr:rowOff>119743</xdr:rowOff>
    </xdr:from>
    <xdr:to>
      <xdr:col>23</xdr:col>
      <xdr:colOff>293914</xdr:colOff>
      <xdr:row>5</xdr:row>
      <xdr:rowOff>65315</xdr:rowOff>
    </xdr:to>
    <xdr:graphicFrame macro="">
      <xdr:nvGraphicFramePr>
        <xdr:cNvPr id="918" name="Chart 917">
          <a:extLst>
            <a:ext uri="{FF2B5EF4-FFF2-40B4-BE49-F238E27FC236}">
              <a16:creationId xmlns:a16="http://schemas.microsoft.com/office/drawing/2014/main" id="{B795C93B-2939-49DF-A6F4-3F8CB396B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174174</xdr:colOff>
      <xdr:row>1</xdr:row>
      <xdr:rowOff>65315</xdr:rowOff>
    </xdr:from>
    <xdr:to>
      <xdr:col>26</xdr:col>
      <xdr:colOff>478974</xdr:colOff>
      <xdr:row>5</xdr:row>
      <xdr:rowOff>130630</xdr:rowOff>
    </xdr:to>
    <xdr:graphicFrame macro="">
      <xdr:nvGraphicFramePr>
        <xdr:cNvPr id="921" name="Chart 920">
          <a:extLst>
            <a:ext uri="{FF2B5EF4-FFF2-40B4-BE49-F238E27FC236}">
              <a16:creationId xmlns:a16="http://schemas.microsoft.com/office/drawing/2014/main" id="{81D2C9C7-0BAE-4AB2-B26A-A34C93CF4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315683</xdr:colOff>
      <xdr:row>2</xdr:row>
      <xdr:rowOff>10884</xdr:rowOff>
    </xdr:from>
    <xdr:to>
      <xdr:col>26</xdr:col>
      <xdr:colOff>337457</xdr:colOff>
      <xdr:row>4</xdr:row>
      <xdr:rowOff>130628</xdr:rowOff>
    </xdr:to>
    <xdr:sp macro="" textlink="">
      <xdr:nvSpPr>
        <xdr:cNvPr id="924" name="Freeform: Shape 923">
          <a:extLst>
            <a:ext uri="{FF2B5EF4-FFF2-40B4-BE49-F238E27FC236}">
              <a16:creationId xmlns:a16="http://schemas.microsoft.com/office/drawing/2014/main" id="{B482360D-D99A-414C-BEE4-A4C8CBF30313}"/>
            </a:ext>
          </a:extLst>
        </xdr:cNvPr>
        <xdr:cNvSpPr/>
      </xdr:nvSpPr>
      <xdr:spPr>
        <a:xfrm>
          <a:off x="15337969" y="402770"/>
          <a:ext cx="1981202" cy="511629"/>
        </a:xfrm>
        <a:custGeom>
          <a:avLst/>
          <a:gdLst>
            <a:gd name="connsiteX0" fmla="*/ 1600200 w 1828800"/>
            <a:gd name="connsiteY0" fmla="*/ 0 h 430306"/>
            <a:gd name="connsiteX1" fmla="*/ 1828800 w 1828800"/>
            <a:gd name="connsiteY1" fmla="*/ 0 h 430306"/>
            <a:gd name="connsiteX2" fmla="*/ 1828800 w 1828800"/>
            <a:gd name="connsiteY2" fmla="*/ 164362 h 430306"/>
            <a:gd name="connsiteX3" fmla="*/ 1654164 w 1828800"/>
            <a:gd name="connsiteY3" fmla="*/ 164363 h 430306"/>
            <a:gd name="connsiteX4" fmla="*/ 1149723 w 1828800"/>
            <a:gd name="connsiteY4" fmla="*/ 0 h 430306"/>
            <a:gd name="connsiteX5" fmla="*/ 1600200 w 1828800"/>
            <a:gd name="connsiteY5" fmla="*/ 0 h 430306"/>
            <a:gd name="connsiteX6" fmla="*/ 1546236 w 1828800"/>
            <a:gd name="connsiteY6" fmla="*/ 164363 h 430306"/>
            <a:gd name="connsiteX7" fmla="*/ 1378323 w 1828800"/>
            <a:gd name="connsiteY7" fmla="*/ 164362 h 430306"/>
            <a:gd name="connsiteX8" fmla="*/ 1378323 w 1828800"/>
            <a:gd name="connsiteY8" fmla="*/ 164362 h 430306"/>
            <a:gd name="connsiteX9" fmla="*/ 1374962 w 1828800"/>
            <a:gd name="connsiteY9" fmla="*/ 164362 h 430306"/>
            <a:gd name="connsiteX10" fmla="*/ 1371600 w 1828800"/>
            <a:gd name="connsiteY10" fmla="*/ 164362 h 430306"/>
            <a:gd name="connsiteX11" fmla="*/ 1371600 w 1828800"/>
            <a:gd name="connsiteY11" fmla="*/ 164362 h 430306"/>
            <a:gd name="connsiteX12" fmla="*/ 1203687 w 1828800"/>
            <a:gd name="connsiteY12" fmla="*/ 164363 h 430306"/>
            <a:gd name="connsiteX13" fmla="*/ 685800 w 1828800"/>
            <a:gd name="connsiteY13" fmla="*/ 0 h 430306"/>
            <a:gd name="connsiteX14" fmla="*/ 1149723 w 1828800"/>
            <a:gd name="connsiteY14" fmla="*/ 0 h 430306"/>
            <a:gd name="connsiteX15" fmla="*/ 1095759 w 1828800"/>
            <a:gd name="connsiteY15" fmla="*/ 164363 h 430306"/>
            <a:gd name="connsiteX16" fmla="*/ 921123 w 1828800"/>
            <a:gd name="connsiteY16" fmla="*/ 164362 h 430306"/>
            <a:gd name="connsiteX17" fmla="*/ 1062407 w 1828800"/>
            <a:gd name="connsiteY17" fmla="*/ 265943 h 430306"/>
            <a:gd name="connsiteX18" fmla="*/ 1008441 w 1828800"/>
            <a:gd name="connsiteY18" fmla="*/ 430305 h 430306"/>
            <a:gd name="connsiteX19" fmla="*/ 1149723 w 1828800"/>
            <a:gd name="connsiteY19" fmla="*/ 328722 h 430306"/>
            <a:gd name="connsiteX20" fmla="*/ 1291005 w 1828800"/>
            <a:gd name="connsiteY20" fmla="*/ 430305 h 430306"/>
            <a:gd name="connsiteX21" fmla="*/ 1237039 w 1828800"/>
            <a:gd name="connsiteY21" fmla="*/ 265943 h 430306"/>
            <a:gd name="connsiteX22" fmla="*/ 1374962 w 1828800"/>
            <a:gd name="connsiteY22" fmla="*/ 166779 h 430306"/>
            <a:gd name="connsiteX23" fmla="*/ 1512884 w 1828800"/>
            <a:gd name="connsiteY23" fmla="*/ 265943 h 430306"/>
            <a:gd name="connsiteX24" fmla="*/ 1458918 w 1828800"/>
            <a:gd name="connsiteY24" fmla="*/ 430305 h 430306"/>
            <a:gd name="connsiteX25" fmla="*/ 1600200 w 1828800"/>
            <a:gd name="connsiteY25" fmla="*/ 328722 h 430306"/>
            <a:gd name="connsiteX26" fmla="*/ 1741482 w 1828800"/>
            <a:gd name="connsiteY26" fmla="*/ 430305 h 430306"/>
            <a:gd name="connsiteX27" fmla="*/ 1687516 w 1828800"/>
            <a:gd name="connsiteY27" fmla="*/ 265943 h 430306"/>
            <a:gd name="connsiteX28" fmla="*/ 1828800 w 1828800"/>
            <a:gd name="connsiteY28" fmla="*/ 164362 h 430306"/>
            <a:gd name="connsiteX29" fmla="*/ 1828800 w 1828800"/>
            <a:gd name="connsiteY29" fmla="*/ 430306 h 430306"/>
            <a:gd name="connsiteX30" fmla="*/ 0 w 1828800"/>
            <a:gd name="connsiteY30" fmla="*/ 430306 h 430306"/>
            <a:gd name="connsiteX31" fmla="*/ 0 w 1828800"/>
            <a:gd name="connsiteY31" fmla="*/ 164362 h 430306"/>
            <a:gd name="connsiteX32" fmla="*/ 141284 w 1828800"/>
            <a:gd name="connsiteY32" fmla="*/ 265943 h 430306"/>
            <a:gd name="connsiteX33" fmla="*/ 87318 w 1828800"/>
            <a:gd name="connsiteY33" fmla="*/ 430305 h 430306"/>
            <a:gd name="connsiteX34" fmla="*/ 228600 w 1828800"/>
            <a:gd name="connsiteY34" fmla="*/ 328722 h 430306"/>
            <a:gd name="connsiteX35" fmla="*/ 369882 w 1828800"/>
            <a:gd name="connsiteY35" fmla="*/ 430305 h 430306"/>
            <a:gd name="connsiteX36" fmla="*/ 315916 w 1828800"/>
            <a:gd name="connsiteY36" fmla="*/ 265943 h 430306"/>
            <a:gd name="connsiteX37" fmla="*/ 457200 w 1828800"/>
            <a:gd name="connsiteY37" fmla="*/ 164362 h 430306"/>
            <a:gd name="connsiteX38" fmla="*/ 598484 w 1828800"/>
            <a:gd name="connsiteY38" fmla="*/ 265943 h 430306"/>
            <a:gd name="connsiteX39" fmla="*/ 544518 w 1828800"/>
            <a:gd name="connsiteY39" fmla="*/ 430305 h 430306"/>
            <a:gd name="connsiteX40" fmla="*/ 685800 w 1828800"/>
            <a:gd name="connsiteY40" fmla="*/ 328722 h 430306"/>
            <a:gd name="connsiteX41" fmla="*/ 827082 w 1828800"/>
            <a:gd name="connsiteY41" fmla="*/ 430305 h 430306"/>
            <a:gd name="connsiteX42" fmla="*/ 773116 w 1828800"/>
            <a:gd name="connsiteY42" fmla="*/ 265943 h 430306"/>
            <a:gd name="connsiteX43" fmla="*/ 914400 w 1828800"/>
            <a:gd name="connsiteY43" fmla="*/ 164362 h 430306"/>
            <a:gd name="connsiteX44" fmla="*/ 739764 w 1828800"/>
            <a:gd name="connsiteY44" fmla="*/ 164363 h 430306"/>
            <a:gd name="connsiteX45" fmla="*/ 228600 w 1828800"/>
            <a:gd name="connsiteY45" fmla="*/ 0 h 430306"/>
            <a:gd name="connsiteX46" fmla="*/ 685800 w 1828800"/>
            <a:gd name="connsiteY46" fmla="*/ 0 h 430306"/>
            <a:gd name="connsiteX47" fmla="*/ 631836 w 1828800"/>
            <a:gd name="connsiteY47" fmla="*/ 164363 h 430306"/>
            <a:gd name="connsiteX48" fmla="*/ 457200 w 1828800"/>
            <a:gd name="connsiteY48" fmla="*/ 164362 h 430306"/>
            <a:gd name="connsiteX49" fmla="*/ 282564 w 1828800"/>
            <a:gd name="connsiteY49" fmla="*/ 164363 h 430306"/>
            <a:gd name="connsiteX50" fmla="*/ 0 w 1828800"/>
            <a:gd name="connsiteY50" fmla="*/ 0 h 430306"/>
            <a:gd name="connsiteX51" fmla="*/ 228600 w 1828800"/>
            <a:gd name="connsiteY51" fmla="*/ 0 h 430306"/>
            <a:gd name="connsiteX52" fmla="*/ 174636 w 1828800"/>
            <a:gd name="connsiteY52" fmla="*/ 164363 h 430306"/>
            <a:gd name="connsiteX53" fmla="*/ 0 w 1828800"/>
            <a:gd name="connsiteY53" fmla="*/ 164362 h 4303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1828800" h="430306">
              <a:moveTo>
                <a:pt x="1600200" y="0"/>
              </a:moveTo>
              <a:lnTo>
                <a:pt x="1828800" y="0"/>
              </a:lnTo>
              <a:lnTo>
                <a:pt x="1828800" y="164362"/>
              </a:lnTo>
              <a:lnTo>
                <a:pt x="1654164" y="164363"/>
              </a:lnTo>
              <a:close/>
              <a:moveTo>
                <a:pt x="1149723" y="0"/>
              </a:moveTo>
              <a:lnTo>
                <a:pt x="1600200" y="0"/>
              </a:lnTo>
              <a:lnTo>
                <a:pt x="1546236" y="164363"/>
              </a:lnTo>
              <a:lnTo>
                <a:pt x="1378323" y="164362"/>
              </a:lnTo>
              <a:lnTo>
                <a:pt x="1378323" y="164362"/>
              </a:lnTo>
              <a:lnTo>
                <a:pt x="1374962" y="164362"/>
              </a:lnTo>
              <a:lnTo>
                <a:pt x="1371600" y="164362"/>
              </a:lnTo>
              <a:lnTo>
                <a:pt x="1371600" y="164362"/>
              </a:lnTo>
              <a:lnTo>
                <a:pt x="1203687" y="164363"/>
              </a:lnTo>
              <a:close/>
              <a:moveTo>
                <a:pt x="685800" y="0"/>
              </a:moveTo>
              <a:lnTo>
                <a:pt x="1149723" y="0"/>
              </a:lnTo>
              <a:lnTo>
                <a:pt x="1095759" y="164363"/>
              </a:lnTo>
              <a:lnTo>
                <a:pt x="921123" y="164362"/>
              </a:lnTo>
              <a:lnTo>
                <a:pt x="1062407" y="265943"/>
              </a:lnTo>
              <a:lnTo>
                <a:pt x="1008441" y="430305"/>
              </a:lnTo>
              <a:lnTo>
                <a:pt x="1149723" y="328722"/>
              </a:lnTo>
              <a:lnTo>
                <a:pt x="1291005" y="430305"/>
              </a:lnTo>
              <a:lnTo>
                <a:pt x="1237039" y="265943"/>
              </a:lnTo>
              <a:lnTo>
                <a:pt x="1374962" y="166779"/>
              </a:lnTo>
              <a:lnTo>
                <a:pt x="1512884" y="265943"/>
              </a:lnTo>
              <a:lnTo>
                <a:pt x="1458918" y="430305"/>
              </a:lnTo>
              <a:lnTo>
                <a:pt x="1600200" y="328722"/>
              </a:lnTo>
              <a:lnTo>
                <a:pt x="1741482" y="430305"/>
              </a:lnTo>
              <a:lnTo>
                <a:pt x="1687516" y="265943"/>
              </a:lnTo>
              <a:lnTo>
                <a:pt x="1828800" y="164362"/>
              </a:lnTo>
              <a:lnTo>
                <a:pt x="1828800" y="430306"/>
              </a:lnTo>
              <a:lnTo>
                <a:pt x="0" y="430306"/>
              </a:lnTo>
              <a:lnTo>
                <a:pt x="0" y="164362"/>
              </a:lnTo>
              <a:lnTo>
                <a:pt x="141284" y="265943"/>
              </a:lnTo>
              <a:lnTo>
                <a:pt x="87318" y="430305"/>
              </a:lnTo>
              <a:lnTo>
                <a:pt x="228600" y="328722"/>
              </a:lnTo>
              <a:lnTo>
                <a:pt x="369882" y="430305"/>
              </a:lnTo>
              <a:lnTo>
                <a:pt x="315916" y="265943"/>
              </a:lnTo>
              <a:lnTo>
                <a:pt x="457200" y="164362"/>
              </a:lnTo>
              <a:lnTo>
                <a:pt x="598484" y="265943"/>
              </a:lnTo>
              <a:lnTo>
                <a:pt x="544518" y="430305"/>
              </a:lnTo>
              <a:lnTo>
                <a:pt x="685800" y="328722"/>
              </a:lnTo>
              <a:lnTo>
                <a:pt x="827082" y="430305"/>
              </a:lnTo>
              <a:lnTo>
                <a:pt x="773116" y="265943"/>
              </a:lnTo>
              <a:lnTo>
                <a:pt x="914400" y="164362"/>
              </a:lnTo>
              <a:lnTo>
                <a:pt x="739764" y="164363"/>
              </a:lnTo>
              <a:close/>
              <a:moveTo>
                <a:pt x="228600" y="0"/>
              </a:moveTo>
              <a:lnTo>
                <a:pt x="685800" y="0"/>
              </a:lnTo>
              <a:lnTo>
                <a:pt x="631836" y="164363"/>
              </a:lnTo>
              <a:lnTo>
                <a:pt x="457200" y="164362"/>
              </a:lnTo>
              <a:lnTo>
                <a:pt x="282564" y="164363"/>
              </a:lnTo>
              <a:close/>
              <a:moveTo>
                <a:pt x="0" y="0"/>
              </a:moveTo>
              <a:lnTo>
                <a:pt x="228600" y="0"/>
              </a:lnTo>
              <a:lnTo>
                <a:pt x="174636" y="164363"/>
              </a:lnTo>
              <a:lnTo>
                <a:pt x="0" y="164362"/>
              </a:lnTo>
              <a:close/>
            </a:path>
          </a:pathLst>
        </a:cu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   </a:t>
          </a:r>
          <a:endParaRPr lang="en-IN"/>
        </a:p>
      </xdr:txBody>
    </xdr:sp>
    <xdr:clientData/>
  </xdr:twoCellAnchor>
  <xdr:twoCellAnchor>
    <xdr:from>
      <xdr:col>4</xdr:col>
      <xdr:colOff>283024</xdr:colOff>
      <xdr:row>17</xdr:row>
      <xdr:rowOff>70756</xdr:rowOff>
    </xdr:from>
    <xdr:to>
      <xdr:col>11</xdr:col>
      <xdr:colOff>133720</xdr:colOff>
      <xdr:row>24</xdr:row>
      <xdr:rowOff>139156</xdr:rowOff>
    </xdr:to>
    <xdr:grpSp>
      <xdr:nvGrpSpPr>
        <xdr:cNvPr id="18" name="Group 17">
          <a:extLst>
            <a:ext uri="{FF2B5EF4-FFF2-40B4-BE49-F238E27FC236}">
              <a16:creationId xmlns:a16="http://schemas.microsoft.com/office/drawing/2014/main" id="{A39A9ADC-9092-4A0D-A588-4B457F037359}"/>
            </a:ext>
          </a:extLst>
        </xdr:cNvPr>
        <xdr:cNvGrpSpPr/>
      </xdr:nvGrpSpPr>
      <xdr:grpSpPr>
        <a:xfrm>
          <a:off x="2895595" y="3401785"/>
          <a:ext cx="4422696" cy="1440000"/>
          <a:chOff x="2895595" y="3173185"/>
          <a:chExt cx="4422696" cy="1440000"/>
        </a:xfrm>
      </xdr:grpSpPr>
      <xdr:graphicFrame macro="">
        <xdr:nvGraphicFramePr>
          <xdr:cNvPr id="925" name="Chart 924">
            <a:extLst>
              <a:ext uri="{FF2B5EF4-FFF2-40B4-BE49-F238E27FC236}">
                <a16:creationId xmlns:a16="http://schemas.microsoft.com/office/drawing/2014/main" id="{16E3E34E-4800-4E4F-B164-F097D1C937F8}"/>
              </a:ext>
            </a:extLst>
          </xdr:cNvPr>
          <xdr:cNvGraphicFramePr>
            <a:graphicFrameLocks/>
          </xdr:cNvGraphicFramePr>
        </xdr:nvGraphicFramePr>
        <xdr:xfrm>
          <a:off x="2895595" y="3173185"/>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926" name="Chart 925">
            <a:extLst>
              <a:ext uri="{FF2B5EF4-FFF2-40B4-BE49-F238E27FC236}">
                <a16:creationId xmlns:a16="http://schemas.microsoft.com/office/drawing/2014/main" id="{7DB399FE-5297-45CC-A7C8-6E4672FF7266}"/>
              </a:ext>
            </a:extLst>
          </xdr:cNvPr>
          <xdr:cNvGraphicFramePr>
            <a:graphicFrameLocks/>
          </xdr:cNvGraphicFramePr>
        </xdr:nvGraphicFramePr>
        <xdr:xfrm>
          <a:off x="5878291" y="3173185"/>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3" name="Graphic 12" descr="Male profile">
            <a:extLst>
              <a:ext uri="{FF2B5EF4-FFF2-40B4-BE49-F238E27FC236}">
                <a16:creationId xmlns:a16="http://schemas.microsoft.com/office/drawing/2014/main" id="{38C7E5A9-EF17-410A-9E26-443AB5FADBA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225144" y="3456214"/>
            <a:ext cx="756000" cy="756000"/>
          </a:xfrm>
          <a:prstGeom prst="rect">
            <a:avLst/>
          </a:prstGeom>
        </xdr:spPr>
      </xdr:pic>
      <xdr:pic>
        <xdr:nvPicPr>
          <xdr:cNvPr id="15" name="Graphic 14" descr="Female Profile">
            <a:extLst>
              <a:ext uri="{FF2B5EF4-FFF2-40B4-BE49-F238E27FC236}">
                <a16:creationId xmlns:a16="http://schemas.microsoft.com/office/drawing/2014/main" id="{F4027330-C306-458D-8131-147E659302B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288972" y="3456214"/>
            <a:ext cx="756000" cy="756000"/>
          </a:xfrm>
          <a:prstGeom prst="rect">
            <a:avLst/>
          </a:prstGeom>
        </xdr:spPr>
      </xdr:pic>
      <xdr:sp macro="" textlink="'Employees by Gender'!$B$10">
        <xdr:nvSpPr>
          <xdr:cNvPr id="927" name="TextBox 926">
            <a:extLst>
              <a:ext uri="{FF2B5EF4-FFF2-40B4-BE49-F238E27FC236}">
                <a16:creationId xmlns:a16="http://schemas.microsoft.com/office/drawing/2014/main" id="{302DD5AC-8949-4648-9F5F-93A00A1D1369}"/>
              </a:ext>
            </a:extLst>
          </xdr:cNvPr>
          <xdr:cNvSpPr txBox="1"/>
        </xdr:nvSpPr>
        <xdr:spPr>
          <a:xfrm>
            <a:off x="3331029" y="3679371"/>
            <a:ext cx="729343"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4C0186-9443-4283-B62E-126FCE229B64}" type="TxLink">
              <a:rPr lang="en-US" sz="18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t>588</a:t>
            </a:fld>
            <a:endParaRPr lang="en-IN" sz="24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Employees by Gender'!$B$11">
        <xdr:nvSpPr>
          <xdr:cNvPr id="928" name="TextBox 927">
            <a:extLst>
              <a:ext uri="{FF2B5EF4-FFF2-40B4-BE49-F238E27FC236}">
                <a16:creationId xmlns:a16="http://schemas.microsoft.com/office/drawing/2014/main" id="{A0667F4C-8141-49D4-99B8-61EE4B84D536}"/>
              </a:ext>
            </a:extLst>
          </xdr:cNvPr>
          <xdr:cNvSpPr txBox="1"/>
        </xdr:nvSpPr>
        <xdr:spPr>
          <a:xfrm>
            <a:off x="6313715" y="3679371"/>
            <a:ext cx="729343"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C7DC07-468F-47CD-8EE1-44081EC4D9D2}" type="TxLink">
              <a:rPr lang="en-US" sz="18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t>882</a:t>
            </a:fld>
            <a:endParaRPr lang="en-IN" sz="36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4</xdr:col>
      <xdr:colOff>424543</xdr:colOff>
      <xdr:row>11</xdr:row>
      <xdr:rowOff>108858</xdr:rowOff>
    </xdr:from>
    <xdr:to>
      <xdr:col>10</xdr:col>
      <xdr:colOff>337456</xdr:colOff>
      <xdr:row>12</xdr:row>
      <xdr:rowOff>152400</xdr:rowOff>
    </xdr:to>
    <xdr:sp macro="" textlink="">
      <xdr:nvSpPr>
        <xdr:cNvPr id="23" name="TextBox 22">
          <a:extLst>
            <a:ext uri="{FF2B5EF4-FFF2-40B4-BE49-F238E27FC236}">
              <a16:creationId xmlns:a16="http://schemas.microsoft.com/office/drawing/2014/main" id="{8D06BDE9-A723-401C-9A41-03B5B9CB0571}"/>
            </a:ext>
          </a:extLst>
        </xdr:cNvPr>
        <xdr:cNvSpPr txBox="1"/>
      </xdr:nvSpPr>
      <xdr:spPr>
        <a:xfrm>
          <a:off x="3037114" y="2264229"/>
          <a:ext cx="3831771"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6</xdr:col>
      <xdr:colOff>119743</xdr:colOff>
      <xdr:row>14</xdr:row>
      <xdr:rowOff>65314</xdr:rowOff>
    </xdr:from>
    <xdr:to>
      <xdr:col>9</xdr:col>
      <xdr:colOff>293914</xdr:colOff>
      <xdr:row>18</xdr:row>
      <xdr:rowOff>65314</xdr:rowOff>
    </xdr:to>
    <mc:AlternateContent xmlns:mc="http://schemas.openxmlformats.org/markup-compatibility/2006" xmlns:a14="http://schemas.microsoft.com/office/drawing/2010/main">
      <mc:Choice Requires="a14">
        <xdr:graphicFrame macro="">
          <xdr:nvGraphicFramePr>
            <xdr:cNvPr id="929" name="Gender 3">
              <a:extLst>
                <a:ext uri="{FF2B5EF4-FFF2-40B4-BE49-F238E27FC236}">
                  <a16:creationId xmlns:a16="http://schemas.microsoft.com/office/drawing/2014/main" id="{B24C3372-98D6-41D4-87B3-50B7ADF0C58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038600" y="2808514"/>
              <a:ext cx="2133600" cy="783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217715</xdr:colOff>
      <xdr:row>13</xdr:row>
      <xdr:rowOff>32657</xdr:rowOff>
    </xdr:from>
    <xdr:to>
      <xdr:col>19</xdr:col>
      <xdr:colOff>261258</xdr:colOff>
      <xdr:row>24</xdr:row>
      <xdr:rowOff>160563</xdr:rowOff>
    </xdr:to>
    <xdr:graphicFrame macro="">
      <xdr:nvGraphicFramePr>
        <xdr:cNvPr id="930" name="Chart 929">
          <a:extLst>
            <a:ext uri="{FF2B5EF4-FFF2-40B4-BE49-F238E27FC236}">
              <a16:creationId xmlns:a16="http://schemas.microsoft.com/office/drawing/2014/main" id="{38424CDF-0561-4DBE-BA84-BB8C2EE31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304799</xdr:colOff>
      <xdr:row>11</xdr:row>
      <xdr:rowOff>119744</xdr:rowOff>
    </xdr:from>
    <xdr:to>
      <xdr:col>17</xdr:col>
      <xdr:colOff>217712</xdr:colOff>
      <xdr:row>12</xdr:row>
      <xdr:rowOff>163286</xdr:rowOff>
    </xdr:to>
    <xdr:sp macro="" textlink="">
      <xdr:nvSpPr>
        <xdr:cNvPr id="932" name="TextBox 931">
          <a:extLst>
            <a:ext uri="{FF2B5EF4-FFF2-40B4-BE49-F238E27FC236}">
              <a16:creationId xmlns:a16="http://schemas.microsoft.com/office/drawing/2014/main" id="{F9416AC6-3091-4B98-978E-6DD9DAA8E858}"/>
            </a:ext>
          </a:extLst>
        </xdr:cNvPr>
        <xdr:cNvSpPr txBox="1"/>
      </xdr:nvSpPr>
      <xdr:spPr>
        <a:xfrm>
          <a:off x="7489370" y="2275115"/>
          <a:ext cx="3831771"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19</xdr:col>
      <xdr:colOff>449035</xdr:colOff>
      <xdr:row>13</xdr:row>
      <xdr:rowOff>87085</xdr:rowOff>
    </xdr:from>
    <xdr:to>
      <xdr:col>26</xdr:col>
      <xdr:colOff>489856</xdr:colOff>
      <xdr:row>24</xdr:row>
      <xdr:rowOff>54428</xdr:rowOff>
    </xdr:to>
    <mc:AlternateContent xmlns:mc="http://schemas.openxmlformats.org/markup-compatibility/2006">
      <mc:Choice xmlns:cx1="http://schemas.microsoft.com/office/drawing/2015/9/8/chartex" Requires="cx1">
        <xdr:graphicFrame macro="">
          <xdr:nvGraphicFramePr>
            <xdr:cNvPr id="933" name="Chart 932">
              <a:extLst>
                <a:ext uri="{FF2B5EF4-FFF2-40B4-BE49-F238E27FC236}">
                  <a16:creationId xmlns:a16="http://schemas.microsoft.com/office/drawing/2014/main" id="{6E48673E-948B-43BA-9EEC-D2C4B49443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2900115" y="2563585"/>
              <a:ext cx="4628061" cy="20628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478971</xdr:colOff>
      <xdr:row>11</xdr:row>
      <xdr:rowOff>108858</xdr:rowOff>
    </xdr:from>
    <xdr:to>
      <xdr:col>25</xdr:col>
      <xdr:colOff>391885</xdr:colOff>
      <xdr:row>12</xdr:row>
      <xdr:rowOff>152400</xdr:rowOff>
    </xdr:to>
    <xdr:sp macro="" textlink="">
      <xdr:nvSpPr>
        <xdr:cNvPr id="936" name="TextBox 935">
          <a:extLst>
            <a:ext uri="{FF2B5EF4-FFF2-40B4-BE49-F238E27FC236}">
              <a16:creationId xmlns:a16="http://schemas.microsoft.com/office/drawing/2014/main" id="{5DA70C2A-3B96-4F19-B18C-5DFA79057E32}"/>
            </a:ext>
          </a:extLst>
        </xdr:cNvPr>
        <xdr:cNvSpPr txBox="1"/>
      </xdr:nvSpPr>
      <xdr:spPr>
        <a:xfrm>
          <a:off x="12888685" y="2264229"/>
          <a:ext cx="3831771"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Job</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Role</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457199</xdr:colOff>
      <xdr:row>27</xdr:row>
      <xdr:rowOff>54428</xdr:rowOff>
    </xdr:from>
    <xdr:to>
      <xdr:col>10</xdr:col>
      <xdr:colOff>566057</xdr:colOff>
      <xdr:row>38</xdr:row>
      <xdr:rowOff>76199</xdr:rowOff>
    </xdr:to>
    <xdr:graphicFrame macro="">
      <xdr:nvGraphicFramePr>
        <xdr:cNvPr id="937" name="Chart 936">
          <a:extLst>
            <a:ext uri="{FF2B5EF4-FFF2-40B4-BE49-F238E27FC236}">
              <a16:creationId xmlns:a16="http://schemas.microsoft.com/office/drawing/2014/main" id="{F3E7B8CD-4EA6-4BD3-A049-BA66E8825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424543</xdr:colOff>
      <xdr:row>25</xdr:row>
      <xdr:rowOff>108858</xdr:rowOff>
    </xdr:from>
    <xdr:to>
      <xdr:col>10</xdr:col>
      <xdr:colOff>337456</xdr:colOff>
      <xdr:row>26</xdr:row>
      <xdr:rowOff>152400</xdr:rowOff>
    </xdr:to>
    <xdr:sp macro="" textlink="">
      <xdr:nvSpPr>
        <xdr:cNvPr id="938" name="TextBox 937">
          <a:extLst>
            <a:ext uri="{FF2B5EF4-FFF2-40B4-BE49-F238E27FC236}">
              <a16:creationId xmlns:a16="http://schemas.microsoft.com/office/drawing/2014/main" id="{D141114C-6915-4E39-9A25-C0A497FDB6EE}"/>
            </a:ext>
          </a:extLst>
        </xdr:cNvPr>
        <xdr:cNvSpPr txBox="1"/>
      </xdr:nvSpPr>
      <xdr:spPr>
        <a:xfrm>
          <a:off x="3037114" y="5007429"/>
          <a:ext cx="3831771"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11</xdr:col>
      <xdr:colOff>228601</xdr:colOff>
      <xdr:row>27</xdr:row>
      <xdr:rowOff>62594</xdr:rowOff>
    </xdr:from>
    <xdr:to>
      <xdr:col>17</xdr:col>
      <xdr:colOff>10885</xdr:colOff>
      <xdr:row>38</xdr:row>
      <xdr:rowOff>65314</xdr:rowOff>
    </xdr:to>
    <xdr:graphicFrame macro="">
      <xdr:nvGraphicFramePr>
        <xdr:cNvPr id="939" name="Chart 938">
          <a:extLst>
            <a:ext uri="{FF2B5EF4-FFF2-40B4-BE49-F238E27FC236}">
              <a16:creationId xmlns:a16="http://schemas.microsoft.com/office/drawing/2014/main" id="{EC476AB1-F177-4BC7-8CFB-B1BEDF8B2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337458</xdr:colOff>
      <xdr:row>25</xdr:row>
      <xdr:rowOff>108858</xdr:rowOff>
    </xdr:from>
    <xdr:to>
      <xdr:col>17</xdr:col>
      <xdr:colOff>250371</xdr:colOff>
      <xdr:row>26</xdr:row>
      <xdr:rowOff>152400</xdr:rowOff>
    </xdr:to>
    <xdr:sp macro="" textlink="">
      <xdr:nvSpPr>
        <xdr:cNvPr id="940" name="TextBox 939">
          <a:extLst>
            <a:ext uri="{FF2B5EF4-FFF2-40B4-BE49-F238E27FC236}">
              <a16:creationId xmlns:a16="http://schemas.microsoft.com/office/drawing/2014/main" id="{9FDAD48D-ACC9-4A12-A827-1D0945D58F18}"/>
            </a:ext>
          </a:extLst>
        </xdr:cNvPr>
        <xdr:cNvSpPr txBox="1"/>
      </xdr:nvSpPr>
      <xdr:spPr>
        <a:xfrm>
          <a:off x="7522029" y="5007429"/>
          <a:ext cx="3831771"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17</xdr:col>
      <xdr:colOff>263979</xdr:colOff>
      <xdr:row>27</xdr:row>
      <xdr:rowOff>65315</xdr:rowOff>
    </xdr:from>
    <xdr:to>
      <xdr:col>22</xdr:col>
      <xdr:colOff>21771</xdr:colOff>
      <xdr:row>38</xdr:row>
      <xdr:rowOff>119743</xdr:rowOff>
    </xdr:to>
    <mc:AlternateContent xmlns:mc="http://schemas.openxmlformats.org/markup-compatibility/2006">
      <mc:Choice xmlns:cx2="http://schemas.microsoft.com/office/drawing/2015/10/21/chartex" Requires="cx2">
        <xdr:graphicFrame macro="">
          <xdr:nvGraphicFramePr>
            <xdr:cNvPr id="942" name="Chart 941">
              <a:extLst>
                <a:ext uri="{FF2B5EF4-FFF2-40B4-BE49-F238E27FC236}">
                  <a16:creationId xmlns:a16="http://schemas.microsoft.com/office/drawing/2014/main" id="{04C090AB-5CC1-4DE9-B1A1-C29178B8B1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1404419" y="5208815"/>
              <a:ext cx="3034392" cy="21499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468086</xdr:colOff>
      <xdr:row>25</xdr:row>
      <xdr:rowOff>97972</xdr:rowOff>
    </xdr:from>
    <xdr:to>
      <xdr:col>23</xdr:col>
      <xdr:colOff>381000</xdr:colOff>
      <xdr:row>26</xdr:row>
      <xdr:rowOff>141514</xdr:rowOff>
    </xdr:to>
    <xdr:sp macro="" textlink="">
      <xdr:nvSpPr>
        <xdr:cNvPr id="943" name="TextBox 942">
          <a:extLst>
            <a:ext uri="{FF2B5EF4-FFF2-40B4-BE49-F238E27FC236}">
              <a16:creationId xmlns:a16="http://schemas.microsoft.com/office/drawing/2014/main" id="{586DDEAA-7E7C-4CCC-B54F-E6533F072A66}"/>
            </a:ext>
          </a:extLst>
        </xdr:cNvPr>
        <xdr:cNvSpPr txBox="1"/>
      </xdr:nvSpPr>
      <xdr:spPr>
        <a:xfrm>
          <a:off x="11571515" y="4996543"/>
          <a:ext cx="3831771" cy="239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Marital</a:t>
          </a:r>
          <a:r>
            <a:rPr lang="en-IN" sz="1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Status</a:t>
          </a:r>
          <a:endParaRPr lang="en-IN" sz="1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22</xdr:col>
      <xdr:colOff>266700</xdr:colOff>
      <xdr:row>27</xdr:row>
      <xdr:rowOff>23587</xdr:rowOff>
    </xdr:from>
    <xdr:to>
      <xdr:col>24</xdr:col>
      <xdr:colOff>517072</xdr:colOff>
      <xdr:row>38</xdr:row>
      <xdr:rowOff>61687</xdr:rowOff>
    </xdr:to>
    <mc:AlternateContent xmlns:mc="http://schemas.openxmlformats.org/markup-compatibility/2006" xmlns:a14="http://schemas.microsoft.com/office/drawing/2010/main">
      <mc:Choice Requires="a14">
        <xdr:graphicFrame macro="">
          <xdr:nvGraphicFramePr>
            <xdr:cNvPr id="946" name="Education Field 3">
              <a:extLst>
                <a:ext uri="{FF2B5EF4-FFF2-40B4-BE49-F238E27FC236}">
                  <a16:creationId xmlns:a16="http://schemas.microsoft.com/office/drawing/2014/main" id="{58EEB3AE-70EC-4254-84AC-FCFBD1090D8C}"/>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635843" y="5314044"/>
              <a:ext cx="1556658" cy="2193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511630</xdr:colOff>
      <xdr:row>27</xdr:row>
      <xdr:rowOff>5445</xdr:rowOff>
    </xdr:from>
    <xdr:to>
      <xdr:col>26</xdr:col>
      <xdr:colOff>500743</xdr:colOff>
      <xdr:row>33</xdr:row>
      <xdr:rowOff>146958</xdr:rowOff>
    </xdr:to>
    <mc:AlternateContent xmlns:mc="http://schemas.openxmlformats.org/markup-compatibility/2006" xmlns:a14="http://schemas.microsoft.com/office/drawing/2010/main">
      <mc:Choice Requires="a14">
        <xdr:graphicFrame macro="">
          <xdr:nvGraphicFramePr>
            <xdr:cNvPr id="947" name="Department 1">
              <a:extLst>
                <a:ext uri="{FF2B5EF4-FFF2-40B4-BE49-F238E27FC236}">
                  <a16:creationId xmlns:a16="http://schemas.microsoft.com/office/drawing/2014/main" id="{B3539A7D-34BF-4017-A3A0-0283E9AB2D7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187059" y="5295902"/>
              <a:ext cx="1295398" cy="1317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283028</xdr:colOff>
      <xdr:row>25</xdr:row>
      <xdr:rowOff>179617</xdr:rowOff>
    </xdr:from>
    <xdr:to>
      <xdr:col>24</xdr:col>
      <xdr:colOff>293914</xdr:colOff>
      <xdr:row>26</xdr:row>
      <xdr:rowOff>114301</xdr:rowOff>
    </xdr:to>
    <xdr:sp macro="" textlink="">
      <xdr:nvSpPr>
        <xdr:cNvPr id="24" name="TextBox 23">
          <a:extLst>
            <a:ext uri="{FF2B5EF4-FFF2-40B4-BE49-F238E27FC236}">
              <a16:creationId xmlns:a16="http://schemas.microsoft.com/office/drawing/2014/main" id="{0AAE7FE5-C2D3-4341-A4DF-912A4CB969A9}"/>
            </a:ext>
          </a:extLst>
        </xdr:cNvPr>
        <xdr:cNvSpPr txBox="1"/>
      </xdr:nvSpPr>
      <xdr:spPr>
        <a:xfrm>
          <a:off x="14652171" y="5078188"/>
          <a:ext cx="1317172" cy="130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24</xdr:col>
      <xdr:colOff>576943</xdr:colOff>
      <xdr:row>25</xdr:row>
      <xdr:rowOff>152402</xdr:rowOff>
    </xdr:from>
    <xdr:to>
      <xdr:col>26</xdr:col>
      <xdr:colOff>587830</xdr:colOff>
      <xdr:row>26</xdr:row>
      <xdr:rowOff>141516</xdr:rowOff>
    </xdr:to>
    <xdr:sp macro="" textlink="">
      <xdr:nvSpPr>
        <xdr:cNvPr id="948" name="TextBox 947">
          <a:extLst>
            <a:ext uri="{FF2B5EF4-FFF2-40B4-BE49-F238E27FC236}">
              <a16:creationId xmlns:a16="http://schemas.microsoft.com/office/drawing/2014/main" id="{30F68612-49DF-4C52-9DE9-FC459B3D141E}"/>
            </a:ext>
          </a:extLst>
        </xdr:cNvPr>
        <xdr:cNvSpPr txBox="1"/>
      </xdr:nvSpPr>
      <xdr:spPr>
        <a:xfrm>
          <a:off x="16252372" y="5050973"/>
          <a:ext cx="1317172" cy="18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accent5">
                  <a:lumMod val="75000"/>
                </a:schemeClr>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0.23636</cdr:x>
      <cdr:y>0.28571</cdr:y>
    </cdr:from>
    <cdr:to>
      <cdr:x>0.78182</cdr:x>
      <cdr:y>0.76623</cdr:y>
    </cdr:to>
    <cdr:sp macro="" textlink="Rating!$B$6">
      <cdr:nvSpPr>
        <cdr:cNvPr id="2" name="TextBox 1">
          <a:extLst xmlns:a="http://schemas.openxmlformats.org/drawingml/2006/main">
            <a:ext uri="{FF2B5EF4-FFF2-40B4-BE49-F238E27FC236}">
              <a16:creationId xmlns:a16="http://schemas.microsoft.com/office/drawing/2014/main" id="{86428388-43E3-47DD-A77C-E3FD448460E5}"/>
            </a:ext>
          </a:extLst>
        </cdr:cNvPr>
        <cdr:cNvSpPr txBox="1"/>
      </cdr:nvSpPr>
      <cdr:spPr>
        <a:xfrm xmlns:a="http://schemas.openxmlformats.org/drawingml/2006/main">
          <a:off x="283029" y="239485"/>
          <a:ext cx="653142" cy="40277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t"/>
        <a:lstStyle xmlns:a="http://schemas.openxmlformats.org/drawingml/2006/main"/>
        <a:p xmlns:a="http://schemas.openxmlformats.org/drawingml/2006/main">
          <a:pPr algn="ctr"/>
          <a:fld id="{151FAB4B-3F6C-418A-839C-8641EEF66F7A}" type="TxLink">
            <a:rPr lang="en-US" sz="16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2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1097280</xdr:colOff>
      <xdr:row>10</xdr:row>
      <xdr:rowOff>167640</xdr:rowOff>
    </xdr:from>
    <xdr:to>
      <xdr:col>1</xdr:col>
      <xdr:colOff>1059180</xdr:colOff>
      <xdr:row>24</xdr:row>
      <xdr:rowOff>89535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2EC7E34E-4DBD-4E58-B75D-247C992CA2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97280" y="2148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1</xdr:row>
      <xdr:rowOff>15240</xdr:rowOff>
    </xdr:from>
    <xdr:to>
      <xdr:col>7</xdr:col>
      <xdr:colOff>60960</xdr:colOff>
      <xdr:row>7</xdr:row>
      <xdr:rowOff>106680</xdr:rowOff>
    </xdr:to>
    <xdr:graphicFrame macro="">
      <xdr:nvGraphicFramePr>
        <xdr:cNvPr id="2" name="Chart 1">
          <a:extLst>
            <a:ext uri="{FF2B5EF4-FFF2-40B4-BE49-F238E27FC236}">
              <a16:creationId xmlns:a16="http://schemas.microsoft.com/office/drawing/2014/main" id="{970182C3-F65E-4A9D-B7E4-39C941431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236220</xdr:colOff>
      <xdr:row>0</xdr:row>
      <xdr:rowOff>182881</xdr:rowOff>
    </xdr:from>
    <xdr:to>
      <xdr:col>11</xdr:col>
      <xdr:colOff>53340</xdr:colOff>
      <xdr:row>7</xdr:row>
      <xdr:rowOff>30481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AD45BE99-234E-401B-8E36-7E200A78B7D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28460" y="18288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906780</xdr:colOff>
      <xdr:row>12</xdr:row>
      <xdr:rowOff>30480</xdr:rowOff>
    </xdr:from>
    <xdr:to>
      <xdr:col>6</xdr:col>
      <xdr:colOff>506730</xdr:colOff>
      <xdr:row>19</xdr:row>
      <xdr:rowOff>68580</xdr:rowOff>
    </xdr:to>
    <xdr:graphicFrame macro="">
      <xdr:nvGraphicFramePr>
        <xdr:cNvPr id="5" name="Chart 4">
          <a:extLst>
            <a:ext uri="{FF2B5EF4-FFF2-40B4-BE49-F238E27FC236}">
              <a16:creationId xmlns:a16="http://schemas.microsoft.com/office/drawing/2014/main" id="{96BD7197-5C5A-4E89-9BC1-CB43FCF82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434340</xdr:colOff>
      <xdr:row>1</xdr:row>
      <xdr:rowOff>76200</xdr:rowOff>
    </xdr:from>
    <xdr:to>
      <xdr:col>14</xdr:col>
      <xdr:colOff>251460</xdr:colOff>
      <xdr:row>14</xdr:row>
      <xdr:rowOff>196215</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98D73B19-F627-4D15-8DFE-1F05CAFC78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938260" y="2743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441960</xdr:colOff>
      <xdr:row>0</xdr:row>
      <xdr:rowOff>121921</xdr:rowOff>
    </xdr:from>
    <xdr:to>
      <xdr:col>6</xdr:col>
      <xdr:colOff>259080</xdr:colOff>
      <xdr:row>11</xdr:row>
      <xdr:rowOff>99061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F6F5EC5F-85E4-440A-AAE0-279DA23CAE6A}"/>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3665220" y="121921"/>
              <a:ext cx="1828800" cy="215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411480</xdr:colOff>
      <xdr:row>0</xdr:row>
      <xdr:rowOff>99061</xdr:rowOff>
    </xdr:from>
    <xdr:to>
      <xdr:col>9</xdr:col>
      <xdr:colOff>228600</xdr:colOff>
      <xdr:row>6</xdr:row>
      <xdr:rowOff>53341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B6847B6D-8171-4164-8F97-EF1720EF09A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46420" y="9906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830580</xdr:colOff>
      <xdr:row>12</xdr:row>
      <xdr:rowOff>121920</xdr:rowOff>
    </xdr:from>
    <xdr:to>
      <xdr:col>3</xdr:col>
      <xdr:colOff>289560</xdr:colOff>
      <xdr:row>19</xdr:row>
      <xdr:rowOff>190500</xdr:rowOff>
    </xdr:to>
    <xdr:graphicFrame macro="">
      <xdr:nvGraphicFramePr>
        <xdr:cNvPr id="4" name="Chart 3">
          <a:extLst>
            <a:ext uri="{FF2B5EF4-FFF2-40B4-BE49-F238E27FC236}">
              <a16:creationId xmlns:a16="http://schemas.microsoft.com/office/drawing/2014/main" id="{7914A1C5-6CDC-4970-8B7A-82114A500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148590</xdr:colOff>
      <xdr:row>6</xdr:row>
      <xdr:rowOff>68580</xdr:rowOff>
    </xdr:from>
    <xdr:to>
      <xdr:col>10</xdr:col>
      <xdr:colOff>26670</xdr:colOff>
      <xdr:row>20</xdr:row>
      <xdr:rowOff>38100</xdr:rowOff>
    </xdr:to>
    <xdr:graphicFrame macro="">
      <xdr:nvGraphicFramePr>
        <xdr:cNvPr id="2" name="Chart 1">
          <a:extLst>
            <a:ext uri="{FF2B5EF4-FFF2-40B4-BE49-F238E27FC236}">
              <a16:creationId xmlns:a16="http://schemas.microsoft.com/office/drawing/2014/main" id="{E2107A92-2256-48E8-857A-609DF7174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441960</xdr:colOff>
      <xdr:row>6</xdr:row>
      <xdr:rowOff>167640</xdr:rowOff>
    </xdr:from>
    <xdr:to>
      <xdr:col>12</xdr:col>
      <xdr:colOff>262890</xdr:colOff>
      <xdr:row>18</xdr:row>
      <xdr:rowOff>182880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9F61AFB-D365-4A4D-8214-A34247CFE8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59980" y="1356360"/>
              <a:ext cx="3844290" cy="2392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316230</xdr:colOff>
      <xdr:row>3</xdr:row>
      <xdr:rowOff>91440</xdr:rowOff>
    </xdr:from>
    <xdr:to>
      <xdr:col>8</xdr:col>
      <xdr:colOff>480060</xdr:colOff>
      <xdr:row>13</xdr:row>
      <xdr:rowOff>83820</xdr:rowOff>
    </xdr:to>
    <xdr:graphicFrame macro="">
      <xdr:nvGraphicFramePr>
        <xdr:cNvPr id="2" name="Chart 1">
          <a:extLst>
            <a:ext uri="{FF2B5EF4-FFF2-40B4-BE49-F238E27FC236}">
              <a16:creationId xmlns:a16="http://schemas.microsoft.com/office/drawing/2014/main" id="{0D40FA51-139E-412E-B222-9073FED16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358140</xdr:colOff>
      <xdr:row>5</xdr:row>
      <xdr:rowOff>152400</xdr:rowOff>
    </xdr:from>
    <xdr:to>
      <xdr:col>9</xdr:col>
      <xdr:colOff>300990</xdr:colOff>
      <xdr:row>16</xdr:row>
      <xdr:rowOff>30480</xdr:rowOff>
    </xdr:to>
    <xdr:graphicFrame macro="">
      <xdr:nvGraphicFramePr>
        <xdr:cNvPr id="2" name="Chart 1">
          <a:extLst>
            <a:ext uri="{FF2B5EF4-FFF2-40B4-BE49-F238E27FC236}">
              <a16:creationId xmlns:a16="http://schemas.microsoft.com/office/drawing/2014/main" id="{910149E5-EFEA-4134-9626-FE3C1332F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91440</xdr:colOff>
      <xdr:row>2</xdr:row>
      <xdr:rowOff>152400</xdr:rowOff>
    </xdr:from>
    <xdr:to>
      <xdr:col>14</xdr:col>
      <xdr:colOff>579120</xdr:colOff>
      <xdr:row>16</xdr:row>
      <xdr:rowOff>66675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0B4AFE8-A49F-4F76-94AF-6FD81B83F5F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93480" y="548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2</xdr:row>
      <xdr:rowOff>167640</xdr:rowOff>
    </xdr:from>
    <xdr:to>
      <xdr:col>17</xdr:col>
      <xdr:colOff>640080</xdr:colOff>
      <xdr:row>16</xdr:row>
      <xdr:rowOff>81915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9C55F359-8D9E-4AA2-A290-6FC1F5536CF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1292840" y="563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331470</xdr:colOff>
      <xdr:row>6</xdr:row>
      <xdr:rowOff>68580</xdr:rowOff>
    </xdr:from>
    <xdr:to>
      <xdr:col>12</xdr:col>
      <xdr:colOff>209550</xdr:colOff>
      <xdr:row>20</xdr:row>
      <xdr:rowOff>38100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DC8FCE4-39A0-431F-926D-EBE93B9F2B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2573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6.687472569443" createdVersion="6" refreshedVersion="6" minRefreshableVersion="3" recordCount="1470" xr:uid="{06BF0BC9-78D2-4DFA-9F9C-428593C9EFDD}">
  <cacheSource type="worksheet">
    <worksheetSource name="Table2"/>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08568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1B7E9-F992-47AB-AB43-B49C1A0EF334}"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442665339"/>
    <dataField name="Sum of CF_attrition counts" fld="18" baseField="0" baseItem="0"/>
    <dataField name="Average of Age" fld="16" subtotal="average" baseField="0" baseItem="1"/>
  </dataFields>
  <formats count="1">
    <format dxfId="2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D3A7BF-5A6F-4ACE-BC6B-68E7BA72F5E2}"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442665339" numFmtId="164"/>
  </dataFields>
  <formats count="2">
    <format dxfId="22">
      <pivotArea outline="0" collapsedLevelsAreSubtotals="1" fieldPosition="0"/>
    </format>
    <format dxfId="2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0DAFAF-77C4-45F1-BA60-30A0BFCFF43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380A4-B158-4775-ABC9-B35BD2D65B3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C009B2-65C1-4450-BA61-760D7BEDB316}" name="Attri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C18"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6">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42ED37-81CA-44BE-9341-AC1DE3478E75}" name="Dep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C12"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6">
    <format dxfId="20">
      <pivotArea type="all" dataOnly="0" outline="0" fieldPosition="0"/>
    </format>
    <format dxfId="19">
      <pivotArea outline="0" collapsedLevelsAreSubtotals="1" fieldPosition="0"/>
    </format>
    <format dxfId="18">
      <pivotArea field="4" type="button" dataOnly="0" labelOnly="1" outline="0" axis="axisRow" fieldPosition="0"/>
    </format>
    <format dxfId="17">
      <pivotArea dataOnly="0" labelOnly="1" fieldPosition="0">
        <references count="1">
          <reference field="4" count="0"/>
        </references>
      </pivotArea>
    </format>
    <format dxfId="16">
      <pivotArea dataOnly="0" labelOnly="1" grandRow="1" outline="0" fieldPosition="0"/>
    </format>
    <format dxfId="1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C87DF5-973F-423A-8DF0-AD1945660876}" name="Attrition by Job Ro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C14"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formats count="6">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14E5C9-4A15-4145-849A-A80D0EABA7D9}" name="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E45770F-3536-4419-8B28-C7DC05B08DF5}" sourceName="Gender">
  <pivotTables>
    <pivotTable tabId="9" name="PivotTable2"/>
    <pivotTable tabId="13" name="Attrition by Job Role"/>
    <pivotTable tabId="11" name="Attrition by Job"/>
    <pivotTable tabId="12" name="Dept wise Attrition"/>
    <pivotTable tabId="14" name="Marital Status"/>
    <pivotTable tabId="8" name="Rating"/>
    <pivotTable tabId="7" name="KPI"/>
    <pivotTable tabId="10" name="PivotTable3"/>
  </pivotTables>
  <data>
    <tabular pivotCacheId="19085688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FB88880-87B0-471F-AA62-A310A5280F16}" sourceName="Department">
  <pivotTables>
    <pivotTable tabId="13" name="Attrition by Job Role"/>
    <pivotTable tabId="11" name="Attrition by Job"/>
    <pivotTable tabId="12" name="Dept wise Attrition"/>
    <pivotTable tabId="9" name="PivotTable2"/>
    <pivotTable tabId="14" name="Marital Status"/>
    <pivotTable tabId="8" name="Rating"/>
    <pivotTable tabId="7" name="KPI"/>
    <pivotTable tabId="10" name="PivotTable3"/>
  </pivotTables>
  <data>
    <tabular pivotCacheId="19085688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CC0D8C9-ACA3-479B-BE83-C200A91108B4}" sourceName="Education Field">
  <pivotTables>
    <pivotTable tabId="13" name="Attrition by Job Role"/>
    <pivotTable tabId="11" name="Attrition by Job"/>
    <pivotTable tabId="12" name="Dept wise Attrition"/>
    <pivotTable tabId="9" name="PivotTable2"/>
    <pivotTable tabId="14" name="Marital Status"/>
    <pivotTable tabId="8" name="Rating"/>
    <pivotTable tabId="7" name="KPI"/>
    <pivotTable tabId="10" name="PivotTable3"/>
  </pivotTables>
  <data>
    <tabular pivotCacheId="190856882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38F59818-FCB6-47DF-87AB-ECBB1EE70E24}" cache="Slicer_Gender2" caption="Gender" columnCount="2" style="Slicer Style 2" rowHeight="260350"/>
  <slicer name="Department 1" xr10:uid="{EAD6064E-0A55-48EC-B70B-6B9A3C44D113}" cache="Slicer_Department" style="Slicer Style 2" rowHeight="260350"/>
  <slicer name="Education Field 3" xr10:uid="{DCE69FE8-DEE1-4061-A8A7-8E24CB93A1F4}" cache="Slicer_Education_Field2" style="Slicer Style 2"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45195BD-A402-4046-9BB8-6A4C709A48E2}" cache="Slicer_Gender2"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F14C361-F76D-4D0F-BB43-7163183CCE51}" cache="Slicer_Gender2" caption="Gender" rowHeight="260350"/>
  <slicer name="Education Field" xr10:uid="{D79D6683-C557-4B7B-BF76-7DFF2DE30ED0}"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BED32ED-6628-4B7F-834A-5EDA1FE3D15E}" cache="Slicer_Gender2" caption="Gender" rowHeight="260350"/>
  <slicer name="Education Field 1" xr10:uid="{1E514859-4BBA-42C5-9DAC-D5007E4A1992}"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E58C181-D4FE-4371-BBDF-F0453C8D8EDA}" cache="Slicer_Department" caption="Department" rowHeight="260350"/>
  <slicer name="Education Field 2" xr10:uid="{EA6D0CFC-0766-4D30-A6D9-E07EA6345692}"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FC37D2-9544-472A-AAA3-9AF2414C2CEF}" name="Table2" displayName="Table2" ref="A1:AR1471" totalsRowShown="0">
  <autoFilter ref="A1:AR1471" xr:uid="{B04A4E0A-5C63-4B77-AD4C-119076996AA5}"/>
  <tableColumns count="44">
    <tableColumn id="1" xr3:uid="{82412A63-FF71-4F33-87E3-2FB6D563C85B}" name="Attrition"/>
    <tableColumn id="2" xr3:uid="{13063C0C-83D0-4B6B-8119-1C3ABF45FDBE}" name="Business Travel"/>
    <tableColumn id="3" xr3:uid="{0822C37D-B0A7-4A18-B2C6-946B8C464521}" name="CF_age band"/>
    <tableColumn id="4" xr3:uid="{D93EF949-2576-4161-A6E7-6D2747F991FB}" name="CF_attrition label"/>
    <tableColumn id="5" xr3:uid="{8ECEA0B1-9B42-4F57-AD0D-A564A4DC006D}" name="Department"/>
    <tableColumn id="6" xr3:uid="{BC2CF904-772E-4CF3-A468-71D8F40CD86F}" name="Education Field"/>
    <tableColumn id="7" xr3:uid="{82A667A2-BE3B-4D13-96C4-B70F7351B40D}" name="emp no"/>
    <tableColumn id="8" xr3:uid="{F1626383-D2F5-4A86-880F-51E0503C85FA}" name="Employee Number"/>
    <tableColumn id="9" xr3:uid="{11251228-F325-452A-AEF6-D8423C8DF2E2}" name="Gender"/>
    <tableColumn id="10" xr3:uid="{978EA6B9-3A74-47EE-80C8-AE0A260B68E9}" name="Job Role"/>
    <tableColumn id="11" xr3:uid="{B0485517-0998-46BC-8ACE-0BEF3053076F}" name="Marital Status"/>
    <tableColumn id="12" xr3:uid="{729A8624-1CCC-4558-978E-63685145DFF7}" name="Over Time"/>
    <tableColumn id="13" xr3:uid="{2F33D0C0-8F32-4E70-95F1-C541EC7C2CD6}" name="Over18"/>
    <tableColumn id="14" xr3:uid="{430A54D1-143D-4556-BF8D-B007B808037D}" name="Training Times Last Year"/>
    <tableColumn id="15" xr3:uid="{5ED5C44E-F91B-43DA-A79F-5B00CDBCA18C}" name="-2"/>
    <tableColumn id="16" xr3:uid="{321A706F-BD12-4FCD-983F-B8E0CB7DFECD}" name="0"/>
    <tableColumn id="17" xr3:uid="{75EC14B4-3755-4F97-B123-73375BDBBE03}" name="Age"/>
    <tableColumn id="18" xr3:uid="{EEA70B84-CACD-43AD-99B1-02E048F24E59}" name="CF_attrition count"/>
    <tableColumn id="19" xr3:uid="{CBD3243E-63C1-4BAD-9DB0-A237DB1D2C60}" name="CF_attrition counts"/>
    <tableColumn id="20" xr3:uid="{8678E5BB-1BB7-4763-B502-0C4C6BDFC783}" name="CF_attrition rate"/>
    <tableColumn id="21" xr3:uid="{34202B46-70C6-4535-B7A5-36ABA293C8BF}" name="CF_current Employee"/>
    <tableColumn id="22" xr3:uid="{AA4C1302-0939-4C8F-BED3-7BC4A553F334}" name="Daily Rate"/>
    <tableColumn id="23" xr3:uid="{8214C589-88A9-4C79-B49F-5A221B86FDBA}" name="Distance From Home"/>
    <tableColumn id="24" xr3:uid="{41381913-5C2F-4DDF-A03C-20A2504CCDF7}" name="Education"/>
    <tableColumn id="25" xr3:uid="{8242A20B-A353-45D8-BBD5-0C73081BC815}" name="Employee Count"/>
    <tableColumn id="26" xr3:uid="{519FA0BB-797B-4A23-93E8-B09A6AB1C165}" name="Environment Satisfaction"/>
    <tableColumn id="27" xr3:uid="{29583A49-68D4-4C43-B28B-E73DB8A99962}" name="Hourly Rate"/>
    <tableColumn id="28" xr3:uid="{D7B53041-E431-4ACC-8301-0D6533EFA0C6}" name="Job Involvement"/>
    <tableColumn id="29" xr3:uid="{1AC1B217-2EDF-4B13-9DF3-28A5613362DA}" name="Job Level"/>
    <tableColumn id="30" xr3:uid="{7DF140EB-7DD9-41B6-A831-4409869FC9C9}" name="Job Satisfaction"/>
    <tableColumn id="31" xr3:uid="{284EACA7-7C9D-47AE-9C4D-FE2B51EB3DE9}" name="Monthly Income"/>
    <tableColumn id="32" xr3:uid="{9B3B6E08-07C7-4D4A-9A6F-09816F8AAC82}" name="Monthly Rate"/>
    <tableColumn id="33" xr3:uid="{6BDA951F-B01E-4500-81B7-4A29FFE5D59C}" name="Num Companies Worked"/>
    <tableColumn id="34" xr3:uid="{1AD1668D-1F99-4B22-AC62-BB78F1338BBE}" name="Percent Salary Hike"/>
    <tableColumn id="35" xr3:uid="{B191499E-303A-4662-983B-3B027B7F91BD}" name="Performance Rating"/>
    <tableColumn id="36" xr3:uid="{3795654C-C341-4F4D-A9B9-ABDFBCC9D00C}" name="Relationship Satisfaction"/>
    <tableColumn id="37" xr3:uid="{B81884C1-0412-43AC-B96B-C4EBA6FACBB2}" name="Standard Hours"/>
    <tableColumn id="38" xr3:uid="{4BA9060B-074B-40A3-B6E9-08D7C577243A}" name="Stock Option Level"/>
    <tableColumn id="39" xr3:uid="{6648B63E-B0F2-4691-B679-7D15FF561998}" name="Total Working Years"/>
    <tableColumn id="40" xr3:uid="{042ED619-0DE5-467F-8CBE-DF6AB6365937}" name="Work Life Balance"/>
    <tableColumn id="41" xr3:uid="{60380C99-5A63-4C46-869D-77EAD6D432EF}" name="Years At Company"/>
    <tableColumn id="42" xr3:uid="{76B427D9-2C27-44E1-9F8C-4C2AE25D02F6}" name="Years In Current Role"/>
    <tableColumn id="43" xr3:uid="{EA763556-63B9-4DBD-99FE-5F86B49AD3D3}" name="Years Since Last Promotion"/>
    <tableColumn id="44" xr3:uid="{9E85EF3A-D582-4752-862F-0736B36D221C}" name="Years With Curr Manager"/>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C14"/>
  <sheetViews>
    <sheetView showGridLines="0" zoomScale="70" zoomScaleNormal="70" workbookViewId="0">
      <selection activeCell="D30" sqref="D30"/>
    </sheetView>
  </sheetViews>
  <sheetFormatPr defaultColWidth="11.19921875" defaultRowHeight="15" customHeight="1" x14ac:dyDescent="0.3"/>
  <cols>
    <col min="1" max="26" width="8.59765625" style="12" customWidth="1"/>
    <col min="27" max="16384" width="11.19921875" style="12"/>
  </cols>
  <sheetData>
    <row r="14" spans="29:29" ht="15" customHeight="1" x14ac:dyDescent="0.3">
      <c r="AC14" s="12" t="s">
        <v>1565</v>
      </c>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7" sqref="C7"/>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5" customWidth="1"/>
    <col min="7" max="7" width="9" customWidth="1"/>
    <col min="8" max="8" width="18.09765625" customWidth="1"/>
    <col min="9" max="9" width="8.79687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3B7-3A90-4041-BC07-FB03E90CDB95}">
  <dimension ref="A3:E8"/>
  <sheetViews>
    <sheetView workbookViewId="0">
      <selection activeCell="E8" sqref="E8"/>
    </sheetView>
  </sheetViews>
  <sheetFormatPr defaultRowHeight="15.6" x14ac:dyDescent="0.3"/>
  <cols>
    <col min="1" max="1" width="24.5" bestFit="1" customWidth="1"/>
    <col min="2" max="2" width="23.59765625" bestFit="1" customWidth="1"/>
    <col min="3" max="3" width="13.5" bestFit="1" customWidth="1"/>
    <col min="4" max="4" width="15.59765625" bestFit="1" customWidth="1"/>
    <col min="5" max="5" width="12.3984375" bestFit="1" customWidth="1"/>
  </cols>
  <sheetData>
    <row r="3" spans="1:5" x14ac:dyDescent="0.3">
      <c r="A3" s="1" t="s">
        <v>1554</v>
      </c>
      <c r="B3" s="5" t="s">
        <v>1555</v>
      </c>
      <c r="C3" s="2" t="s">
        <v>1556</v>
      </c>
    </row>
    <row r="4" spans="1:5" x14ac:dyDescent="0.3">
      <c r="A4" s="3">
        <v>1470</v>
      </c>
      <c r="B4" s="6">
        <v>237</v>
      </c>
      <c r="C4" s="4">
        <v>36.923809523809524</v>
      </c>
    </row>
    <row r="7" spans="1:5" x14ac:dyDescent="0.3">
      <c r="A7" s="7" t="s">
        <v>1557</v>
      </c>
      <c r="B7" s="7" t="s">
        <v>1558</v>
      </c>
      <c r="C7" s="7" t="s">
        <v>1559</v>
      </c>
      <c r="D7" s="7" t="s">
        <v>1560</v>
      </c>
      <c r="E7" s="7" t="s">
        <v>1561</v>
      </c>
    </row>
    <row r="8" spans="1:5" x14ac:dyDescent="0.3">
      <c r="A8">
        <f>GETPIVOTDATA("Count of Employee Number",$A$3)</f>
        <v>1470</v>
      </c>
      <c r="B8">
        <f>GETPIVOTDATA("Sum of CF_attrition counts",$A$3)</f>
        <v>237</v>
      </c>
      <c r="C8" s="9">
        <f>GETPIVOTDATA("Average of Age",$A$3)</f>
        <v>36.923809523809524</v>
      </c>
      <c r="D8">
        <f>A8-B8</f>
        <v>1233</v>
      </c>
      <c r="E8" s="11">
        <f>B8/A8</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D5A7-6294-429F-970E-9373E0D81D67}">
  <dimension ref="A3:C7"/>
  <sheetViews>
    <sheetView workbookViewId="0">
      <selection activeCell="H22" sqref="H22"/>
    </sheetView>
  </sheetViews>
  <sheetFormatPr defaultRowHeight="15.6" x14ac:dyDescent="0.3"/>
  <cols>
    <col min="1" max="1" width="23.59765625" bestFit="1" customWidth="1"/>
  </cols>
  <sheetData>
    <row r="3" spans="1:3" x14ac:dyDescent="0.3">
      <c r="A3" s="13" t="s">
        <v>1562</v>
      </c>
    </row>
    <row r="4" spans="1:3" x14ac:dyDescent="0.3">
      <c r="A4" s="15">
        <v>2.6265306122448981</v>
      </c>
    </row>
    <row r="6" spans="1:3" x14ac:dyDescent="0.3">
      <c r="A6" t="s">
        <v>1563</v>
      </c>
      <c r="B6" s="15">
        <f>GETPIVOTDATA("Job Satisfaction",$A$3)</f>
        <v>2.6265306122448981</v>
      </c>
      <c r="C6">
        <f>B6/4</f>
        <v>0.65663265306122454</v>
      </c>
    </row>
    <row r="7" spans="1:3" x14ac:dyDescent="0.3">
      <c r="A7" t="s">
        <v>1564</v>
      </c>
      <c r="B7" s="10">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B9E4-6DDB-4AB2-8E35-76C2641D1EBD}">
  <dimension ref="A3:C11"/>
  <sheetViews>
    <sheetView workbookViewId="0">
      <selection activeCell="C10" sqref="C10:C11"/>
    </sheetView>
  </sheetViews>
  <sheetFormatPr defaultRowHeight="15.6" x14ac:dyDescent="0.3"/>
  <cols>
    <col min="1" max="1" width="12.19921875" bestFit="1" customWidth="1"/>
    <col min="2" max="2" width="21.296875" bestFit="1" customWidth="1"/>
  </cols>
  <sheetData>
    <row r="3" spans="1:3" x14ac:dyDescent="0.3">
      <c r="A3" s="16" t="s">
        <v>1566</v>
      </c>
      <c r="B3" s="13" t="s">
        <v>1568</v>
      </c>
    </row>
    <row r="4" spans="1:3" x14ac:dyDescent="0.3">
      <c r="A4" s="17" t="s">
        <v>51</v>
      </c>
      <c r="B4" s="18">
        <v>588</v>
      </c>
    </row>
    <row r="5" spans="1:3" x14ac:dyDescent="0.3">
      <c r="A5" s="19" t="s">
        <v>62</v>
      </c>
      <c r="B5" s="20">
        <v>882</v>
      </c>
    </row>
    <row r="6" spans="1:3" x14ac:dyDescent="0.3">
      <c r="A6" s="21" t="s">
        <v>1567</v>
      </c>
      <c r="B6" s="14">
        <v>1470</v>
      </c>
    </row>
    <row r="10" spans="1:3" x14ac:dyDescent="0.3">
      <c r="A10" t="s">
        <v>51</v>
      </c>
      <c r="B10">
        <f>IFERROR(GETPIVOTDATA("Employee Count",$A$3,"Gender","Female"),0)</f>
        <v>588</v>
      </c>
      <c r="C10" s="8">
        <f>IFERROR(B10/($B$10+$B$11),0)</f>
        <v>0.4</v>
      </c>
    </row>
    <row r="11" spans="1:3" x14ac:dyDescent="0.3">
      <c r="A11" t="s">
        <v>62</v>
      </c>
      <c r="B11">
        <f>IFERROR(GETPIVOTDATA("Employee Count",$A$3,"Gender","Male"),0)</f>
        <v>882</v>
      </c>
      <c r="C11" s="8">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276D-3729-4F00-828E-396F3E7F6559}">
  <dimension ref="A3:B9"/>
  <sheetViews>
    <sheetView workbookViewId="0">
      <selection activeCell="I3" sqref="I3"/>
    </sheetView>
  </sheetViews>
  <sheetFormatPr defaultRowHeight="15.6" x14ac:dyDescent="0.3"/>
  <cols>
    <col min="1" max="1" width="16" bestFit="1" customWidth="1"/>
    <col min="2" max="2" width="22.796875" bestFit="1" customWidth="1"/>
  </cols>
  <sheetData>
    <row r="3" spans="1:2" x14ac:dyDescent="0.3">
      <c r="A3" s="16" t="s">
        <v>1566</v>
      </c>
      <c r="B3" s="13" t="s">
        <v>1569</v>
      </c>
    </row>
    <row r="4" spans="1:2" x14ac:dyDescent="0.3">
      <c r="A4" s="17" t="s">
        <v>134</v>
      </c>
      <c r="B4" s="18">
        <v>5</v>
      </c>
    </row>
    <row r="5" spans="1:2" x14ac:dyDescent="0.3">
      <c r="A5" s="19" t="s">
        <v>65</v>
      </c>
      <c r="B5" s="20">
        <v>31</v>
      </c>
    </row>
    <row r="6" spans="1:2" x14ac:dyDescent="0.3">
      <c r="A6" s="19" t="s">
        <v>55</v>
      </c>
      <c r="B6" s="20">
        <v>44</v>
      </c>
    </row>
    <row r="7" spans="1:2" x14ac:dyDescent="0.3">
      <c r="A7" s="19" t="s">
        <v>71</v>
      </c>
      <c r="B7" s="20">
        <v>58</v>
      </c>
    </row>
    <row r="8" spans="1:2" x14ac:dyDescent="0.3">
      <c r="A8" s="19" t="s">
        <v>77</v>
      </c>
      <c r="B8" s="20">
        <v>99</v>
      </c>
    </row>
    <row r="9" spans="1:2" x14ac:dyDescent="0.3">
      <c r="A9" s="21" t="s">
        <v>1567</v>
      </c>
      <c r="B9" s="1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8E2E-9918-48DC-BDA0-9470A66D5629}">
  <dimension ref="B5:M20"/>
  <sheetViews>
    <sheetView tabSelected="1" zoomScale="85" zoomScaleNormal="85" workbookViewId="0">
      <selection activeCell="N31" sqref="N31"/>
    </sheetView>
  </sheetViews>
  <sheetFormatPr defaultRowHeight="15.6" x14ac:dyDescent="0.3"/>
  <cols>
    <col min="1" max="1" width="5.09765625" customWidth="1"/>
    <col min="2" max="2" width="23.296875" bestFit="1" customWidth="1"/>
    <col min="3" max="3" width="22.796875" bestFit="1" customWidth="1"/>
    <col min="5" max="5" width="23.296875" bestFit="1" customWidth="1"/>
  </cols>
  <sheetData>
    <row r="5" spans="2:13" ht="16.2" thickBot="1" x14ac:dyDescent="0.35"/>
    <row r="6" spans="2:13" x14ac:dyDescent="0.3">
      <c r="B6" s="26"/>
      <c r="C6" s="27"/>
      <c r="D6" s="27"/>
      <c r="E6" s="27"/>
      <c r="F6" s="27"/>
      <c r="G6" s="27"/>
      <c r="H6" s="27"/>
      <c r="I6" s="27"/>
      <c r="J6" s="27"/>
      <c r="K6" s="27"/>
      <c r="L6" s="27"/>
      <c r="M6" s="28"/>
    </row>
    <row r="7" spans="2:13" x14ac:dyDescent="0.3">
      <c r="B7" s="40" t="s">
        <v>1573</v>
      </c>
      <c r="C7" s="30"/>
      <c r="D7" s="30"/>
      <c r="E7" s="30"/>
      <c r="F7" s="30"/>
      <c r="G7" s="30"/>
      <c r="H7" s="30"/>
      <c r="I7" s="30"/>
      <c r="J7" s="30"/>
      <c r="K7" s="30"/>
      <c r="L7" s="30"/>
      <c r="M7" s="31"/>
    </row>
    <row r="8" spans="2:13" x14ac:dyDescent="0.3">
      <c r="B8" s="33" t="s">
        <v>1566</v>
      </c>
      <c r="C8" s="13" t="s">
        <v>1569</v>
      </c>
      <c r="D8" s="30"/>
      <c r="E8" s="41" t="s">
        <v>9</v>
      </c>
      <c r="F8" s="30" t="s">
        <v>0</v>
      </c>
      <c r="G8" s="30"/>
      <c r="H8" s="30"/>
      <c r="I8" s="30"/>
      <c r="J8" s="30"/>
      <c r="K8" s="30"/>
      <c r="L8" s="30"/>
      <c r="M8" s="31"/>
    </row>
    <row r="9" spans="2:13" x14ac:dyDescent="0.3">
      <c r="B9" s="34" t="s">
        <v>83</v>
      </c>
      <c r="C9" s="18">
        <v>9</v>
      </c>
      <c r="D9" s="30"/>
      <c r="E9" s="30" t="str">
        <f>B9</f>
        <v>Healthcare Representative</v>
      </c>
      <c r="F9" s="30">
        <f>GETPIVOTDATA("CF_attrition count",$B$8,"Job Role",B9)</f>
        <v>9</v>
      </c>
      <c r="G9" s="30"/>
      <c r="H9" s="30"/>
      <c r="I9" s="30"/>
      <c r="J9" s="30"/>
      <c r="K9" s="30"/>
      <c r="L9" s="30"/>
      <c r="M9" s="31"/>
    </row>
    <row r="10" spans="2:13" x14ac:dyDescent="0.3">
      <c r="B10" s="35" t="s">
        <v>163</v>
      </c>
      <c r="C10" s="20">
        <v>12</v>
      </c>
      <c r="D10" s="30"/>
      <c r="E10" s="30" t="str">
        <f>B10</f>
        <v>Human Resources</v>
      </c>
      <c r="F10" s="30">
        <f>GETPIVOTDATA("CF_attrition count",$B$8,"Job Role",B10)</f>
        <v>12</v>
      </c>
      <c r="G10" s="30"/>
      <c r="H10" s="30"/>
      <c r="I10" s="30"/>
      <c r="J10" s="30"/>
      <c r="K10" s="30"/>
      <c r="L10" s="30"/>
      <c r="M10" s="31"/>
    </row>
    <row r="11" spans="2:13" x14ac:dyDescent="0.3">
      <c r="B11" s="35" t="s">
        <v>68</v>
      </c>
      <c r="C11" s="20">
        <v>62</v>
      </c>
      <c r="D11" s="30"/>
      <c r="E11" s="30" t="str">
        <f>B11</f>
        <v>Laboratory Technician</v>
      </c>
      <c r="F11" s="30">
        <f>GETPIVOTDATA("CF_attrition count",$B$8,"Job Role",B11)</f>
        <v>62</v>
      </c>
      <c r="G11" s="30"/>
      <c r="H11" s="30"/>
      <c r="I11" s="30"/>
      <c r="J11" s="30"/>
      <c r="K11" s="30"/>
      <c r="L11" s="30"/>
      <c r="M11" s="31"/>
    </row>
    <row r="12" spans="2:13" x14ac:dyDescent="0.3">
      <c r="B12" s="35" t="s">
        <v>95</v>
      </c>
      <c r="C12" s="20">
        <v>5</v>
      </c>
      <c r="D12" s="30"/>
      <c r="E12" s="30" t="str">
        <f>B12</f>
        <v>Manager</v>
      </c>
      <c r="F12" s="30">
        <f>GETPIVOTDATA("CF_attrition count",$B$8,"Job Role",B12)</f>
        <v>5</v>
      </c>
      <c r="G12" s="30"/>
      <c r="H12" s="30"/>
      <c r="I12" s="30"/>
      <c r="J12" s="30"/>
      <c r="K12" s="30"/>
      <c r="L12" s="30"/>
      <c r="M12" s="31"/>
    </row>
    <row r="13" spans="2:13" x14ac:dyDescent="0.3">
      <c r="B13" s="35" t="s">
        <v>81</v>
      </c>
      <c r="C13" s="20">
        <v>10</v>
      </c>
      <c r="D13" s="30"/>
      <c r="E13" s="30" t="str">
        <f>B13</f>
        <v>Manufacturing Director</v>
      </c>
      <c r="F13" s="30">
        <f>GETPIVOTDATA("CF_attrition count",$B$8,"Job Role",B13)</f>
        <v>10</v>
      </c>
      <c r="G13" s="30"/>
      <c r="H13" s="30"/>
      <c r="I13" s="30"/>
      <c r="J13" s="30"/>
      <c r="K13" s="30"/>
      <c r="L13" s="30"/>
      <c r="M13" s="31"/>
    </row>
    <row r="14" spans="2:13" x14ac:dyDescent="0.3">
      <c r="B14" s="35" t="s">
        <v>101</v>
      </c>
      <c r="C14" s="20">
        <v>2</v>
      </c>
      <c r="D14" s="30"/>
      <c r="E14" s="30" t="str">
        <f>B14</f>
        <v>Research Director</v>
      </c>
      <c r="F14" s="30">
        <f>GETPIVOTDATA("CF_attrition count",$B$8,"Job Role",B14)</f>
        <v>2</v>
      </c>
      <c r="G14" s="30"/>
      <c r="H14" s="30"/>
      <c r="I14" s="30"/>
      <c r="J14" s="30"/>
      <c r="K14" s="30"/>
      <c r="L14" s="30"/>
      <c r="M14" s="31"/>
    </row>
    <row r="15" spans="2:13" x14ac:dyDescent="0.3">
      <c r="B15" s="35" t="s">
        <v>63</v>
      </c>
      <c r="C15" s="20">
        <v>47</v>
      </c>
      <c r="D15" s="30"/>
      <c r="E15" s="30" t="str">
        <f>B15</f>
        <v>Research Scientist</v>
      </c>
      <c r="F15" s="30">
        <f>GETPIVOTDATA("CF_attrition count",$B$8,"Job Role",B15)</f>
        <v>47</v>
      </c>
      <c r="G15" s="30"/>
      <c r="H15" s="30"/>
      <c r="I15" s="30"/>
      <c r="J15" s="30"/>
      <c r="K15" s="30"/>
      <c r="L15" s="30"/>
      <c r="M15" s="31"/>
    </row>
    <row r="16" spans="2:13" x14ac:dyDescent="0.3">
      <c r="B16" s="35" t="s">
        <v>52</v>
      </c>
      <c r="C16" s="20">
        <v>57</v>
      </c>
      <c r="D16" s="30"/>
      <c r="E16" s="30" t="str">
        <f>B16</f>
        <v>Sales Executive</v>
      </c>
      <c r="F16" s="30">
        <f>GETPIVOTDATA("CF_attrition count",$B$8,"Job Role",B16)</f>
        <v>57</v>
      </c>
      <c r="G16" s="30"/>
      <c r="H16" s="30"/>
      <c r="I16" s="30"/>
      <c r="J16" s="30"/>
      <c r="K16" s="30"/>
      <c r="L16" s="30"/>
      <c r="M16" s="31"/>
    </row>
    <row r="17" spans="2:13" x14ac:dyDescent="0.3">
      <c r="B17" s="35" t="s">
        <v>99</v>
      </c>
      <c r="C17" s="20">
        <v>33</v>
      </c>
      <c r="D17" s="30"/>
      <c r="E17" s="30" t="str">
        <f>B17</f>
        <v>Sales Representative</v>
      </c>
      <c r="F17" s="30">
        <f>GETPIVOTDATA("CF_attrition count",$B$8,"Job Role",B17)</f>
        <v>33</v>
      </c>
      <c r="G17" s="30"/>
      <c r="H17" s="30"/>
      <c r="I17" s="30"/>
      <c r="J17" s="30"/>
      <c r="K17" s="30"/>
      <c r="L17" s="30"/>
      <c r="M17" s="31"/>
    </row>
    <row r="18" spans="2:13" x14ac:dyDescent="0.3">
      <c r="B18" s="36" t="s">
        <v>1567</v>
      </c>
      <c r="C18" s="14">
        <v>237</v>
      </c>
      <c r="D18" s="30"/>
      <c r="E18" s="30"/>
      <c r="F18" s="30"/>
      <c r="G18" s="30"/>
      <c r="H18" s="30"/>
      <c r="I18" s="30"/>
      <c r="J18" s="30"/>
      <c r="K18" s="30"/>
      <c r="L18" s="30"/>
      <c r="M18" s="31"/>
    </row>
    <row r="19" spans="2:13" x14ac:dyDescent="0.3">
      <c r="B19" s="29"/>
      <c r="C19" s="30"/>
      <c r="D19" s="30"/>
      <c r="E19" s="30"/>
      <c r="F19" s="30"/>
      <c r="G19" s="30"/>
      <c r="H19" s="30"/>
      <c r="I19" s="30"/>
      <c r="J19" s="30"/>
      <c r="K19" s="30"/>
      <c r="L19" s="30"/>
      <c r="M19" s="31"/>
    </row>
    <row r="20" spans="2:13" ht="16.2" thickBot="1" x14ac:dyDescent="0.35">
      <c r="B20" s="37"/>
      <c r="C20" s="38"/>
      <c r="D20" s="38"/>
      <c r="E20" s="38"/>
      <c r="F20" s="38"/>
      <c r="G20" s="38"/>
      <c r="H20" s="38"/>
      <c r="I20" s="38"/>
      <c r="J20" s="38"/>
      <c r="K20" s="38"/>
      <c r="L20" s="38"/>
      <c r="M20" s="3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95BFA-0AE0-4327-8FB4-56370E58976E}">
  <dimension ref="B3:I14"/>
  <sheetViews>
    <sheetView workbookViewId="0">
      <selection activeCell="C17" sqref="C17"/>
    </sheetView>
  </sheetViews>
  <sheetFormatPr defaultRowHeight="15.6" x14ac:dyDescent="0.3"/>
  <cols>
    <col min="1" max="1" width="5.09765625" customWidth="1"/>
    <col min="2" max="2" width="12.19921875" bestFit="1" customWidth="1"/>
    <col min="3" max="3" width="22.796875" bestFit="1" customWidth="1"/>
  </cols>
  <sheetData>
    <row r="3" spans="2:9" ht="16.2" thickBot="1" x14ac:dyDescent="0.35"/>
    <row r="4" spans="2:9" x14ac:dyDescent="0.3">
      <c r="B4" s="26"/>
      <c r="C4" s="27"/>
      <c r="D4" s="27"/>
      <c r="E4" s="27"/>
      <c r="F4" s="27"/>
      <c r="G4" s="27"/>
      <c r="H4" s="27"/>
      <c r="I4" s="28"/>
    </row>
    <row r="5" spans="2:9" x14ac:dyDescent="0.3">
      <c r="B5" s="29"/>
      <c r="C5" s="30"/>
      <c r="D5" s="30"/>
      <c r="E5" s="30"/>
      <c r="F5" s="30"/>
      <c r="G5" s="30"/>
      <c r="H5" s="30"/>
      <c r="I5" s="31"/>
    </row>
    <row r="6" spans="2:9" x14ac:dyDescent="0.3">
      <c r="B6" s="29"/>
      <c r="C6" s="30"/>
      <c r="D6" s="30"/>
      <c r="E6" s="30"/>
      <c r="F6" s="30"/>
      <c r="G6" s="30"/>
      <c r="H6" s="30"/>
      <c r="I6" s="31"/>
    </row>
    <row r="7" spans="2:9" x14ac:dyDescent="0.3">
      <c r="B7" s="32" t="s">
        <v>1571</v>
      </c>
      <c r="C7" s="25"/>
      <c r="D7" s="30"/>
      <c r="E7" s="30"/>
      <c r="F7" s="30"/>
      <c r="G7" s="30"/>
      <c r="H7" s="30"/>
      <c r="I7" s="31"/>
    </row>
    <row r="8" spans="2:9" x14ac:dyDescent="0.3">
      <c r="B8" s="33" t="s">
        <v>1566</v>
      </c>
      <c r="C8" s="13" t="s">
        <v>1569</v>
      </c>
      <c r="D8" s="30"/>
      <c r="E8" s="30"/>
      <c r="F8" s="30"/>
      <c r="G8" s="30"/>
      <c r="H8" s="30"/>
      <c r="I8" s="31"/>
    </row>
    <row r="9" spans="2:9" x14ac:dyDescent="0.3">
      <c r="B9" s="34" t="s">
        <v>161</v>
      </c>
      <c r="C9" s="22">
        <v>5.0632911392405063E-2</v>
      </c>
      <c r="D9" s="30"/>
      <c r="E9" s="30"/>
      <c r="F9" s="30"/>
      <c r="G9" s="30"/>
      <c r="H9" s="30"/>
      <c r="I9" s="31"/>
    </row>
    <row r="10" spans="2:9" x14ac:dyDescent="0.3">
      <c r="B10" s="35" t="s">
        <v>60</v>
      </c>
      <c r="C10" s="23">
        <v>0.56118143459915615</v>
      </c>
      <c r="D10" s="30"/>
      <c r="E10" s="30"/>
      <c r="F10" s="30"/>
      <c r="G10" s="30"/>
      <c r="H10" s="30"/>
      <c r="I10" s="31"/>
    </row>
    <row r="11" spans="2:9" x14ac:dyDescent="0.3">
      <c r="B11" s="35" t="s">
        <v>48</v>
      </c>
      <c r="C11" s="23">
        <v>0.3881856540084388</v>
      </c>
      <c r="D11" s="30"/>
      <c r="E11" s="30"/>
      <c r="F11" s="30"/>
      <c r="G11" s="30"/>
      <c r="H11" s="30"/>
      <c r="I11" s="31"/>
    </row>
    <row r="12" spans="2:9" x14ac:dyDescent="0.3">
      <c r="B12" s="36" t="s">
        <v>1567</v>
      </c>
      <c r="C12" s="24">
        <v>1</v>
      </c>
      <c r="D12" s="30"/>
      <c r="E12" s="30"/>
      <c r="F12" s="30"/>
      <c r="G12" s="30"/>
      <c r="H12" s="30"/>
      <c r="I12" s="31"/>
    </row>
    <row r="13" spans="2:9" x14ac:dyDescent="0.3">
      <c r="B13" s="29"/>
      <c r="C13" s="30"/>
      <c r="D13" s="30"/>
      <c r="E13" s="30"/>
      <c r="F13" s="30"/>
      <c r="G13" s="30"/>
      <c r="H13" s="30"/>
      <c r="I13" s="31"/>
    </row>
    <row r="14" spans="2:9" ht="16.2" thickBot="1" x14ac:dyDescent="0.35">
      <c r="B14" s="37"/>
      <c r="C14" s="38"/>
      <c r="D14" s="38"/>
      <c r="E14" s="38"/>
      <c r="F14" s="38"/>
      <c r="G14" s="38"/>
      <c r="H14" s="38"/>
      <c r="I14" s="39"/>
    </row>
  </sheetData>
  <mergeCells count="1">
    <mergeCell ref="B7:C7"/>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3688-DB86-4081-972C-2358B2BBB621}">
  <dimension ref="B5:J17"/>
  <sheetViews>
    <sheetView workbookViewId="0">
      <selection activeCell="E22" sqref="E22"/>
    </sheetView>
  </sheetViews>
  <sheetFormatPr defaultRowHeight="15.6" x14ac:dyDescent="0.3"/>
  <cols>
    <col min="1" max="1" width="5.59765625" customWidth="1"/>
    <col min="2" max="2" width="12.19921875" bestFit="1" customWidth="1"/>
    <col min="3" max="3" width="22.796875" bestFit="1" customWidth="1"/>
  </cols>
  <sheetData>
    <row r="5" spans="2:10" ht="16.2" thickBot="1" x14ac:dyDescent="0.35"/>
    <row r="6" spans="2:10" x14ac:dyDescent="0.3">
      <c r="B6" s="26"/>
      <c r="C6" s="27"/>
      <c r="D6" s="27"/>
      <c r="E6" s="27"/>
      <c r="F6" s="27"/>
      <c r="G6" s="27"/>
      <c r="H6" s="27"/>
      <c r="I6" s="27"/>
      <c r="J6" s="28"/>
    </row>
    <row r="7" spans="2:10" x14ac:dyDescent="0.3">
      <c r="B7" s="32" t="s">
        <v>1572</v>
      </c>
      <c r="C7" s="25"/>
      <c r="D7" s="30"/>
      <c r="E7" s="30"/>
      <c r="F7" s="30"/>
      <c r="G7" s="30"/>
      <c r="H7" s="30"/>
      <c r="I7" s="30"/>
      <c r="J7" s="31"/>
    </row>
    <row r="8" spans="2:10" x14ac:dyDescent="0.3">
      <c r="B8" s="33" t="s">
        <v>1566</v>
      </c>
      <c r="C8" s="13" t="s">
        <v>1569</v>
      </c>
      <c r="D8" s="30"/>
      <c r="E8" s="30"/>
      <c r="F8" s="30"/>
      <c r="G8" s="30"/>
      <c r="H8" s="30"/>
      <c r="I8" s="30"/>
      <c r="J8" s="31"/>
    </row>
    <row r="9" spans="2:10" x14ac:dyDescent="0.3">
      <c r="B9" s="34" t="s">
        <v>69</v>
      </c>
      <c r="C9" s="18">
        <v>112</v>
      </c>
      <c r="D9" s="30"/>
      <c r="E9" s="30"/>
      <c r="F9" s="30"/>
      <c r="G9" s="30"/>
      <c r="H9" s="30"/>
      <c r="I9" s="30"/>
      <c r="J9" s="31"/>
    </row>
    <row r="10" spans="2:10" x14ac:dyDescent="0.3">
      <c r="B10" s="35" t="s">
        <v>46</v>
      </c>
      <c r="C10" s="20">
        <v>51</v>
      </c>
      <c r="D10" s="30"/>
      <c r="E10" s="30"/>
      <c r="F10" s="30"/>
      <c r="G10" s="30"/>
      <c r="H10" s="30"/>
      <c r="I10" s="30"/>
      <c r="J10" s="31"/>
    </row>
    <row r="11" spans="2:10" x14ac:dyDescent="0.3">
      <c r="B11" s="35" t="s">
        <v>92</v>
      </c>
      <c r="C11" s="20">
        <v>38</v>
      </c>
      <c r="D11" s="30"/>
      <c r="E11" s="30"/>
      <c r="F11" s="30"/>
      <c r="G11" s="30"/>
      <c r="H11" s="30"/>
      <c r="I11" s="30"/>
      <c r="J11" s="31"/>
    </row>
    <row r="12" spans="2:10" x14ac:dyDescent="0.3">
      <c r="B12" s="35" t="s">
        <v>58</v>
      </c>
      <c r="C12" s="20">
        <v>25</v>
      </c>
      <c r="D12" s="30"/>
      <c r="E12" s="30"/>
      <c r="F12" s="30"/>
      <c r="G12" s="30"/>
      <c r="H12" s="30"/>
      <c r="I12" s="30"/>
      <c r="J12" s="31"/>
    </row>
    <row r="13" spans="2:10" x14ac:dyDescent="0.3">
      <c r="B13" s="35" t="s">
        <v>75</v>
      </c>
      <c r="C13" s="20">
        <v>11</v>
      </c>
      <c r="D13" s="30"/>
      <c r="E13" s="30"/>
      <c r="F13" s="30"/>
      <c r="G13" s="30"/>
      <c r="H13" s="30"/>
      <c r="I13" s="30"/>
      <c r="J13" s="31"/>
    </row>
    <row r="14" spans="2:10" x14ac:dyDescent="0.3">
      <c r="B14" s="36" t="s">
        <v>1567</v>
      </c>
      <c r="C14" s="14">
        <v>237</v>
      </c>
      <c r="D14" s="30"/>
      <c r="E14" s="30"/>
      <c r="F14" s="30"/>
      <c r="G14" s="30"/>
      <c r="H14" s="30"/>
      <c r="I14" s="30"/>
      <c r="J14" s="31"/>
    </row>
    <row r="15" spans="2:10" x14ac:dyDescent="0.3">
      <c r="B15" s="29"/>
      <c r="C15" s="30"/>
      <c r="D15" s="30"/>
      <c r="E15" s="30"/>
      <c r="F15" s="30"/>
      <c r="G15" s="30"/>
      <c r="H15" s="30"/>
      <c r="I15" s="30"/>
      <c r="J15" s="31"/>
    </row>
    <row r="16" spans="2:10" x14ac:dyDescent="0.3">
      <c r="B16" s="29"/>
      <c r="C16" s="30"/>
      <c r="D16" s="30"/>
      <c r="E16" s="30"/>
      <c r="F16" s="30"/>
      <c r="G16" s="30"/>
      <c r="H16" s="30"/>
      <c r="I16" s="30"/>
      <c r="J16" s="31"/>
    </row>
    <row r="17" spans="2:10" ht="16.2" thickBot="1" x14ac:dyDescent="0.35">
      <c r="B17" s="37"/>
      <c r="C17" s="38"/>
      <c r="D17" s="38"/>
      <c r="E17" s="38"/>
      <c r="F17" s="38"/>
      <c r="G17" s="38"/>
      <c r="H17" s="38"/>
      <c r="I17" s="38"/>
      <c r="J17" s="39"/>
    </row>
  </sheetData>
  <mergeCells count="1">
    <mergeCell ref="B7:C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1DD2-3CE7-4898-AAD1-9BAC554CF2B1}">
  <dimension ref="A3:E17"/>
  <sheetViews>
    <sheetView workbookViewId="0">
      <selection activeCell="B17" sqref="B17"/>
    </sheetView>
  </sheetViews>
  <sheetFormatPr defaultRowHeight="15.6" x14ac:dyDescent="0.3"/>
  <cols>
    <col min="1" max="1" width="12.19921875" bestFit="1" customWidth="1"/>
    <col min="2" max="2" width="16" bestFit="1" customWidth="1"/>
    <col min="4" max="4" width="12.69921875" bestFit="1" customWidth="1"/>
  </cols>
  <sheetData>
    <row r="3" spans="1:5" x14ac:dyDescent="0.3">
      <c r="A3" s="16" t="s">
        <v>1566</v>
      </c>
      <c r="B3" s="13" t="s">
        <v>1570</v>
      </c>
      <c r="D3" t="s">
        <v>10</v>
      </c>
      <c r="E3" t="s">
        <v>0</v>
      </c>
    </row>
    <row r="4" spans="1:5" x14ac:dyDescent="0.3">
      <c r="A4" s="17" t="s">
        <v>79</v>
      </c>
      <c r="B4" s="18">
        <v>327</v>
      </c>
      <c r="D4" t="str">
        <f>A4</f>
        <v>Divorced</v>
      </c>
      <c r="E4">
        <f>GETPIVOTDATA("Attrition",$A$3,"Marital Status",A4)</f>
        <v>327</v>
      </c>
    </row>
    <row r="5" spans="1:5" x14ac:dyDescent="0.3">
      <c r="A5" s="19" t="s">
        <v>53</v>
      </c>
      <c r="B5" s="20">
        <v>470</v>
      </c>
      <c r="D5" t="str">
        <f>A5</f>
        <v>Single</v>
      </c>
      <c r="E5">
        <f>GETPIVOTDATA("Attrition",$A$3,"Marital Status",A5)</f>
        <v>470</v>
      </c>
    </row>
    <row r="6" spans="1:5" x14ac:dyDescent="0.3">
      <c r="A6" s="19" t="s">
        <v>64</v>
      </c>
      <c r="B6" s="20">
        <v>673</v>
      </c>
      <c r="D6" t="str">
        <f>A6</f>
        <v>Married</v>
      </c>
      <c r="E6">
        <f>GETPIVOTDATA("Attrition",$A$3,"Marital Status",A6)</f>
        <v>673</v>
      </c>
    </row>
    <row r="7" spans="1:5" x14ac:dyDescent="0.3">
      <c r="A7" s="21" t="s">
        <v>1567</v>
      </c>
      <c r="B7" s="14">
        <v>1470</v>
      </c>
    </row>
    <row r="17" spans="2:2" x14ac:dyDescent="0.3">
      <c r="B17" t="s">
        <v>1565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Data</vt:lpstr>
      <vt:lpstr>KPI's</vt:lpstr>
      <vt:lpstr>Rating</vt:lpstr>
      <vt:lpstr>Employees by Gender</vt:lpstr>
      <vt:lpstr>Attrition by Education</vt:lpstr>
      <vt:lpstr>Attrition by Job</vt:lpstr>
      <vt:lpstr>Dept wise Attrition</vt:lpstr>
      <vt:lpstr>Attrition by Age Group</vt:lpstr>
      <vt:lpstr>Attriton by Marital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HP</cp:lastModifiedBy>
  <dcterms:created xsi:type="dcterms:W3CDTF">2022-12-29T16:02:46Z</dcterms:created>
  <dcterms:modified xsi:type="dcterms:W3CDTF">2026-04-06T07:38:25Z</dcterms:modified>
</cp:coreProperties>
</file>